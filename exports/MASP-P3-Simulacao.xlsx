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Pedidos" sheetId="2" r:id="rId2"/>
    <sheet name="Recebimentos" sheetId="3" r:id="rId3"/>
    <sheet name="Indicadores" sheetId="4" r:id="rId4"/>
    <sheet name="Pareto" sheetId="5" r:id="rId5"/>
    <sheet name="Custos" sheetId="6" r:id="rId6"/>
  </sheets>
  <definedNames>
    <definedName name="_xlnm._FilterDatabase" localSheetId="5" hidden="1">Custos!$A$4:$I$7</definedName>
    <definedName name="_xlnm._FilterDatabase" localSheetId="4" hidden="1">Pareto!$A$4:$F$6</definedName>
    <definedName name="_xlnm._FilterDatabase" localSheetId="1" hidden="1">Pedidos!$A$5:$N$17</definedName>
    <definedName name="_xlnm._FilterDatabase" localSheetId="2" hidden="1">Recebimentos!$A$5:$R$12</definedName>
    <definedName name="_xlnm.Print_Area" localSheetId="5">Custos!$A$1:$G$21</definedName>
    <definedName name="_xlnm.Print_Area" localSheetId="3">Indicadores!$A$1:$F$19</definedName>
    <definedName name="_xlnm.Print_Area" localSheetId="0">'Leia-me'!$A$1:$H$24</definedName>
    <definedName name="_xlnm.Print_Area" localSheetId="4">Pareto!$A$1:$F$31</definedName>
    <definedName name="_xlnm.Print_Area" localSheetId="1">Pedidos!$A$1:$G$17</definedName>
    <definedName name="_xlnm.Print_Area" localSheetId="2">Recebimentos!$A$1:$H$12</definedName>
    <definedName name="_xlnm.Print_Titles" localSheetId="5">Custos!$4:$4</definedName>
    <definedName name="_xlnm.Print_Titles" localSheetId="3">Indicadores!$5:$5</definedName>
    <definedName name="_xlnm.Print_Titles" localSheetId="1">Pedidos!$5:$5</definedName>
    <definedName name="_xlnm.Print_Titles" localSheetId="2">Recebimentos!$5:$5</definedName>
  </definedNames>
  <calcPr calcId="124519" fullCalcOnLoad="1"/>
</workbook>
</file>

<file path=xl/sharedStrings.xml><?xml version="1.0" encoding="utf-8"?>
<sst xmlns="http://schemas.openxmlformats.org/spreadsheetml/2006/main" count="313" uniqueCount="186">
  <si>
    <t>MASP — análise acadêmica</t>
  </si>
  <si>
    <t>Planilha elaborada com dados, custos e resultados sintéticos.</t>
  </si>
  <si>
    <t>1. Finalidade e natureza sintética</t>
  </si>
  <si>
    <t>Finalidade</t>
  </si>
  <si>
    <t>Apresentar indicadores de prazo, distribuição de ocorrências e estimativas de custo no contexto do MASP.</t>
  </si>
  <si>
    <t>Natureza</t>
  </si>
  <si>
    <t>Análise acadêmica baseada exclusivamente em dados fictícios, sem vínculo com uma empresa ou operação real.</t>
  </si>
  <si>
    <t>Unidade de análise</t>
  </si>
  <si>
    <t>Cada evento de recebimento constitui uma unidade de análise e é contado uma única vez.</t>
  </si>
  <si>
    <t>2. Recorte, corte temporal e prazo</t>
  </si>
  <si>
    <t>Data de corte (UTC)</t>
  </si>
  <si>
    <t>Prazo de vinculação</t>
  </si>
  <si>
    <t>Convenção de datas</t>
  </si>
  <si>
    <t>Datas e horários são apresentados em UTC, sem conversão para o horário local.</t>
  </si>
  <si>
    <t>Período dos recebimentos</t>
  </si>
  <si>
    <t>2025-03-01 00:00:00 UTC a 2025-03-30 00:00:00 UTC</t>
  </si>
  <si>
    <t>Recorte</t>
  </si>
  <si>
    <t>O conjunto analisado reúne sete recebimentos sintéticos e não representa uma população estatística.</t>
  </si>
  <si>
    <t>3. Método e interpretação</t>
  </si>
  <si>
    <t>Regra de prazo</t>
  </si>
  <si>
    <t>Vínculo concluído em até 3 dias corridos é Dentro do prazo; acima de 3 dias é Fora do prazo. Sem data de vínculo, o recebimento permanece aberto.</t>
  </si>
  <si>
    <t>Pendências abertas</t>
  </si>
  <si>
    <t>Para concluídos, o tempo vai do recebimento ao vínculo. Para abertos, a idade vai do recebimento ao corte fixo. Aberto vencido não integra o denominador de concluídos.</t>
  </si>
  <si>
    <t>Cálculo</t>
  </si>
  <si>
    <t>Os intervalos são calculados em dias corridos. A mediana considera somente os vínculos concluídos e válidos.</t>
  </si>
  <si>
    <t>Interpretação</t>
  </si>
  <si>
    <t>O percentual de 40% corresponde a 2 vínculos fora do prazo entre 5 vínculos concluídos. As 2 pendências abertas são apresentadas separadamente.</t>
  </si>
  <si>
    <t>4. Custos e limitações</t>
  </si>
  <si>
    <t>Custos fictícios</t>
  </si>
  <si>
    <t>O total estimado é de R$ 150,00: R$ 120,00 associados aos atrasos por premissa, R$ 30,00 não atribuídos e R$ 0,00 indeterminados.</t>
  </si>
  <si>
    <t>Limitações</t>
  </si>
  <si>
    <t>Os valores não comprovam causalidade, prejuízo real, multas, perdas ou ausência de documentos.</t>
  </si>
  <si>
    <t>Pedidos — base sintética</t>
  </si>
  <si>
    <t>A tabela reúne 12 pedidos. Situação operacional e aprovação são dimensões distintas. Campos vazios indicam apenas ausência de valor na base sintética.</t>
  </si>
  <si>
    <t>Código do pedido</t>
  </si>
  <si>
    <t>Fornecedor</t>
  </si>
  <si>
    <t>Obra</t>
  </si>
  <si>
    <t>Emissão (UTC)</t>
  </si>
  <si>
    <t>Valor do pedido (R$)</t>
  </si>
  <si>
    <t>Situação operacional</t>
  </si>
  <si>
    <t>Aprovação</t>
  </si>
  <si>
    <t>ID técnico do pedido</t>
  </si>
  <si>
    <t>Código da situação</t>
  </si>
  <si>
    <t>Código da aprovação</t>
  </si>
  <si>
    <t>Autorizado no cenário</t>
  </si>
  <si>
    <t>ID técnico da obra</t>
  </si>
  <si>
    <t>Itens (JSON)</t>
  </si>
  <si>
    <t>NFe (JSON sintético)</t>
  </si>
  <si>
    <t>SYN-PO-0001</t>
  </si>
  <si>
    <t>Fornecedor Sintético 001</t>
  </si>
  <si>
    <t>Obra Acadêmica Norte</t>
  </si>
  <si>
    <t>Pendente</t>
  </si>
  <si>
    <t>Aprovado</t>
  </si>
  <si>
    <t>SYN-ORD-0001</t>
  </si>
  <si>
    <t>PENDING</t>
  </si>
  <si>
    <t>APPROVED</t>
  </si>
  <si>
    <t>SYN-W-001</t>
  </si>
  <si>
    <t>[]</t>
  </si>
  <si>
    <t>SYN-PO-0002</t>
  </si>
  <si>
    <t>Fornecedor Sintético 002</t>
  </si>
  <si>
    <t>Obra Acadêmica Centro</t>
  </si>
  <si>
    <t>SYN-ORD-0002</t>
  </si>
  <si>
    <t>SYN-W-002</t>
  </si>
  <si>
    <t>SYN-PO-0003</t>
  </si>
  <si>
    <t>Fornecedor Sintético 003</t>
  </si>
  <si>
    <t>Obra Acadêmica Sul</t>
  </si>
  <si>
    <t>SYN-ORD-0003</t>
  </si>
  <si>
    <t>SYN-W-003</t>
  </si>
  <si>
    <t>SYN-PO-0101</t>
  </si>
  <si>
    <t>Fornecedor Sintético 004</t>
  </si>
  <si>
    <t>Parcialmente entregue</t>
  </si>
  <si>
    <t>SYN-ORD-0101</t>
  </si>
  <si>
    <t>PARTIALLY_DELIVERED</t>
  </si>
  <si>
    <t>SYN-PO-0102</t>
  </si>
  <si>
    <t>Fornecedor Sintético 005</t>
  </si>
  <si>
    <t>SYN-ORD-0102</t>
  </si>
  <si>
    <t>SYN-PO-0103</t>
  </si>
  <si>
    <t>Fornecedor Sintético 006</t>
  </si>
  <si>
    <t>Obra Acadêmica Leste</t>
  </si>
  <si>
    <t>SYN-ORD-0103</t>
  </si>
  <si>
    <t>SYN-W-004</t>
  </si>
  <si>
    <t>SYN-PO-0201</t>
  </si>
  <si>
    <t>Fornecedor Sintético 007</t>
  </si>
  <si>
    <t>Totalmente entregue</t>
  </si>
  <si>
    <t>SYN-ORD-0201</t>
  </si>
  <si>
    <t>FULLY_DELIVERED</t>
  </si>
  <si>
    <t>SYN-PO-0202</t>
  </si>
  <si>
    <t>Fornecedor Sintético 008</t>
  </si>
  <si>
    <t>SYN-ORD-0202</t>
  </si>
  <si>
    <t>SYN-PO-0203</t>
  </si>
  <si>
    <t>Fornecedor Sintético 009</t>
  </si>
  <si>
    <t>SYN-ORD-0203</t>
  </si>
  <si>
    <t>SYN-PO-0301</t>
  </si>
  <si>
    <t>Fornecedor Sintético 010</t>
  </si>
  <si>
    <t>Cancelado</t>
  </si>
  <si>
    <t>SYN-ORD-0301</t>
  </si>
  <si>
    <t>CANCELED</t>
  </si>
  <si>
    <t>SYN-PO-0302</t>
  </si>
  <si>
    <t>SYN-ORD-0302</t>
  </si>
  <si>
    <t>SYN-PO-0303</t>
  </si>
  <si>
    <t>SYN-ORD-0303</t>
  </si>
  <si>
    <t>Recebimentos — eventos analisados</t>
  </si>
  <si>
    <t>Dados sintéticos: nos concluídos, o tempo termina no vínculo; nos abertos, a idade é calculada até 01/04/2025, data de corte.</t>
  </si>
  <si>
    <t>Recebimento</t>
  </si>
  <si>
    <t>Recebimento (UTC)</t>
  </si>
  <si>
    <t>Vínculo (UTC)</t>
  </si>
  <si>
    <t>Tempo / idade (dias)</t>
  </si>
  <si>
    <t>Classificação</t>
  </si>
  <si>
    <t>Válido</t>
  </si>
  <si>
    <t>Vínculo concluído</t>
  </si>
  <si>
    <t>Fora do prazo</t>
  </si>
  <si>
    <t>Sem vínculo</t>
  </si>
  <si>
    <t>Aberto vencido</t>
  </si>
  <si>
    <t>Tempo elegível</t>
  </si>
  <si>
    <t>Situação de validação</t>
  </si>
  <si>
    <t>Motivo de exclusão</t>
  </si>
  <si>
    <t>SYN-REC-0001</t>
  </si>
  <si>
    <t>valid</t>
  </si>
  <si>
    <t>SYN-REC-0002</t>
  </si>
  <si>
    <t>SYN-REC-0003</t>
  </si>
  <si>
    <t>SYN-REC-0004</t>
  </si>
  <si>
    <t>SYN-REC-0005</t>
  </si>
  <si>
    <t>SYN-REC-0006</t>
  </si>
  <si>
    <t>SYN-REC-0007</t>
  </si>
  <si>
    <t>Indicadores do MASP</t>
  </si>
  <si>
    <t>Síntese dos resultados calculados a partir dos sete eventos válidos.</t>
  </si>
  <si>
    <t>Vínculos concluídos</t>
  </si>
  <si>
    <t>Indicador</t>
  </si>
  <si>
    <t>Resultado</t>
  </si>
  <si>
    <t>Como interpretar</t>
  </si>
  <si>
    <t>Recebimentos válidos</t>
  </si>
  <si>
    <t>Todos os eventos válidos; inválidos e fora do recorte seriam excluídos.</t>
  </si>
  <si>
    <t>Somente vínculos concluídos válidos.</t>
  </si>
  <si>
    <t>Concluídos fora do prazo</t>
  </si>
  <si>
    <t>Concluídos com tempo superior a 3 dias corridos.</t>
  </si>
  <si>
    <t>Percentual fora do prazo</t>
  </si>
  <si>
    <t>2 vínculos fora do prazo ÷ 5 vínculos concluídos = 40%.</t>
  </si>
  <si>
    <t>Mediana do tempo de vinculação (dias)</t>
  </si>
  <si>
    <t>Mediana calculada somente entre vínculos concluídos válidos.</t>
  </si>
  <si>
    <t>Pendências abertas — não integram o denominador dos concluídos</t>
  </si>
  <si>
    <t>Recebimentos sem vínculo</t>
  </si>
  <si>
    <t>Pendências abertas na data de corte; apresentadas separadamente.</t>
  </si>
  <si>
    <t>Abertos vencidos</t>
  </si>
  <si>
    <t>Abertos cuja idade no corte é superior a 3 dias.</t>
  </si>
  <si>
    <t>Observação</t>
  </si>
  <si>
    <t>Os dados são sintéticos. O percentual de 40% corresponde a dois vínculos fora do prazo entre cinco concluídos. As duas pendências abertas são apresentadas separadamente.</t>
  </si>
  <si>
    <t>Pareto — vínculos concluídos fora do prazo</t>
  </si>
  <si>
    <t>Dados sintéticos: ocorrências por obra, percentual acumulado e referência de 80%.</t>
  </si>
  <si>
    <t>Ocorrências</t>
  </si>
  <si>
    <t>% do total</t>
  </si>
  <si>
    <t>% acumulado</t>
  </si>
  <si>
    <t>Referência 80%</t>
  </si>
  <si>
    <t>Critério de análise</t>
  </si>
  <si>
    <t>Foram considerados recebimentos válidos e vinculados fora do prazo. As obras estão ordenadas pelo número de ocorrências e, em caso de empate, pelo código da obra. Cada recebimento é contado uma vez.</t>
  </si>
  <si>
    <t>Interpretação dos resultados</t>
  </si>
  <si>
    <t>Há duas ocorrências distribuídas igualmente entre duas obras, com 50% e 100% acumulados; a base não força concentração 80/20 e não permite inferir causas.</t>
  </si>
  <si>
    <t>Estimativa de custos das atividades adicionais</t>
  </si>
  <si>
    <t>Valores fictícios utilizados para análise acadêmica.</t>
  </si>
  <si>
    <t>Atividade adicional</t>
  </si>
  <si>
    <t>Minutos</t>
  </si>
  <si>
    <t>Custo-hora (R$)</t>
  </si>
  <si>
    <t>Custo simulado (R$)</t>
  </si>
  <si>
    <t>Relação com o atraso</t>
  </si>
  <si>
    <t>Justificativa da premissa</t>
  </si>
  <si>
    <t>ID técnico do custo</t>
  </si>
  <si>
    <t>Código técnico da relação</t>
  </si>
  <si>
    <t>Busca adicional de documentos para conferência</t>
  </si>
  <si>
    <t>Associado por premissa simulada</t>
  </si>
  <si>
    <t>Estimativa do tempo dedicado à busca e à conferência adicional de documentos.</t>
  </si>
  <si>
    <t>SYN-COST-0001</t>
  </si>
  <si>
    <t>assumida_no_cenario</t>
  </si>
  <si>
    <t>Reenvio simulado de documentação</t>
  </si>
  <si>
    <t>Estimativa do tempo dedicado ao reenvio da documentação.</t>
  </si>
  <si>
    <t>SYN-COST-0002</t>
  </si>
  <si>
    <t>Correção cadastral em documento</t>
  </si>
  <si>
    <t>Não atribuído ao atraso</t>
  </si>
  <si>
    <t>Atividade registrada em recebimento dentro do prazo; custo não atribuído ao atraso.</t>
  </si>
  <si>
    <t>SYN-COST-0003</t>
  </si>
  <si>
    <t>nao_atribuida</t>
  </si>
  <si>
    <t>Resumo dos custos</t>
  </si>
  <si>
    <t>Total registrado</t>
  </si>
  <si>
    <t>Indeterminado</t>
  </si>
  <si>
    <t>Método de cálculo</t>
  </si>
  <si>
    <t>O custo de cada atividade corresponde ao tempo empregado, em minutos, dividido por 60 e multiplicado pelo custo por hora. Os valores são arredondados para duas casas decimais por atividade antes da soma.</t>
  </si>
  <si>
    <t>Limitações da análise</t>
  </si>
  <si>
    <t>Tempos e valores são fictícios. A associação de R$ 120,00 aos atrasos foi estabelecida como premissa do estudo e não demonstra causalidade ou prejuízo real. Os R$ 30,00 restantes não foram atribuídos ao atraso.</t>
  </si>
</sst>
</file>

<file path=xl/styles.xml><?xml version="1.0" encoding="utf-8"?>
<styleSheet xmlns="http://schemas.openxmlformats.org/spreadsheetml/2006/main">
  <numFmts count="5">
    <numFmt numFmtId="164" formatCode="dd/mm/yyyy hh:mm:ss &quot;UTC&quot;"/>
    <numFmt numFmtId="165" formatCode="R$ #,##0.00"/>
    <numFmt numFmtId="166" formatCode="0.00 &quot;dias&quot;"/>
    <numFmt numFmtId="167" formatCode="0.00"/>
    <numFmt numFmtId="168" formatCode="0%"/>
  </numFmts>
  <fonts count="12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1"/>
      <color rgb="FF334E68"/>
      <name val="Arial"/>
      <family val="2"/>
    </font>
    <font>
      <b/>
      <sz val="12"/>
      <color rgb="FF17324D"/>
      <name val="Arial"/>
      <family val="2"/>
    </font>
    <font>
      <b/>
      <sz val="11"/>
      <color rgb="FF1F2933"/>
      <name val="Arial"/>
      <family val="2"/>
    </font>
    <font>
      <sz val="11"/>
      <color rgb="FF1F2933"/>
      <name val="Arial"/>
      <family val="2"/>
    </font>
    <font>
      <b/>
      <sz val="11"/>
      <color rgb="FFFFFFFF"/>
      <name val="Arial"/>
      <family val="2"/>
    </font>
    <font>
      <b/>
      <sz val="11"/>
      <color rgb="FF205B35"/>
      <name val="Arial"/>
      <family val="2"/>
    </font>
    <font>
      <b/>
      <sz val="11"/>
      <color rgb="FF8B2C24"/>
      <name val="Arial"/>
      <family val="2"/>
    </font>
    <font>
      <b/>
      <sz val="11"/>
      <color rgb="FF24577A"/>
      <name val="Arial"/>
      <family val="2"/>
    </font>
    <font>
      <b/>
      <sz val="11"/>
      <color rgb="FF7A4B00"/>
      <name val="Arial"/>
      <family val="2"/>
    </font>
    <font>
      <sz val="11"/>
      <color rgb="FF5F45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DCEAF3"/>
        <bgColor indexed="64"/>
      </patternFill>
    </fill>
    <fill>
      <patternFill patternType="solid">
        <fgColor rgb="FFE8F0F5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5B7A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E3F3E8"/>
        <bgColor indexed="64"/>
      </patternFill>
    </fill>
    <fill>
      <patternFill patternType="solid">
        <fgColor rgb="FFFBE5E3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FF0D9"/>
        <bgColor indexed="64"/>
      </patternFill>
    </fill>
    <fill>
      <patternFill patternType="solid">
        <fgColor rgb="FFEDF4F8"/>
        <bgColor indexed="64"/>
      </patternFill>
    </fill>
    <fill>
      <patternFill patternType="solid">
        <fgColor rgb="FFFFF8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B8CA"/>
      </bottom>
      <diagonal/>
    </border>
    <border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164" fontId="5" fillId="7" borderId="2" xfId="0" applyNumberFormat="1" applyFont="1" applyFill="1" applyBorder="1" applyAlignment="1">
      <alignment horizontal="right" vertical="top"/>
    </xf>
    <xf numFmtId="1" fontId="5" fillId="7" borderId="2" xfId="0" applyNumberFormat="1" applyFont="1" applyFill="1" applyBorder="1" applyAlignment="1">
      <alignment horizontal="right" vertical="top"/>
    </xf>
    <xf numFmtId="0" fontId="6" fillId="8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vertical="top" wrapText="1"/>
    </xf>
    <xf numFmtId="165" fontId="5" fillId="7" borderId="2" xfId="0" applyNumberFormat="1" applyFont="1" applyFill="1" applyBorder="1" applyAlignment="1">
      <alignment horizontal="right" vertical="top"/>
    </xf>
    <xf numFmtId="0" fontId="5" fillId="9" borderId="2" xfId="0" applyFont="1" applyFill="1" applyBorder="1" applyAlignment="1">
      <alignment vertical="top" wrapText="1"/>
    </xf>
    <xf numFmtId="164" fontId="5" fillId="9" borderId="2" xfId="0" applyNumberFormat="1" applyFont="1" applyFill="1" applyBorder="1" applyAlignment="1">
      <alignment horizontal="right" vertical="top"/>
    </xf>
    <xf numFmtId="165" fontId="5" fillId="9" borderId="2" xfId="0" applyNumberFormat="1" applyFont="1" applyFill="1" applyBorder="1" applyAlignment="1">
      <alignment horizontal="right" vertical="top"/>
    </xf>
    <xf numFmtId="166" fontId="5" fillId="7" borderId="2" xfId="0" applyNumberFormat="1" applyFont="1" applyFill="1" applyBorder="1" applyAlignment="1">
      <alignment horizontal="right" vertical="top"/>
    </xf>
    <xf numFmtId="0" fontId="7" fillId="10" borderId="2" xfId="0" applyFont="1" applyFill="1" applyBorder="1" applyAlignment="1">
      <alignment vertical="top" wrapText="1"/>
    </xf>
    <xf numFmtId="167" fontId="5" fillId="7" borderId="2" xfId="0" applyNumberFormat="1" applyFont="1" applyFill="1" applyBorder="1" applyAlignment="1">
      <alignment horizontal="right" vertical="top"/>
    </xf>
    <xf numFmtId="166" fontId="5" fillId="9" borderId="2" xfId="0" applyNumberFormat="1" applyFont="1" applyFill="1" applyBorder="1" applyAlignment="1">
      <alignment horizontal="right" vertical="top"/>
    </xf>
    <xf numFmtId="0" fontId="8" fillId="11" borderId="2" xfId="0" applyFont="1" applyFill="1" applyBorder="1" applyAlignment="1">
      <alignment vertical="top" wrapText="1"/>
    </xf>
    <xf numFmtId="1" fontId="5" fillId="9" borderId="2" xfId="0" applyNumberFormat="1" applyFont="1" applyFill="1" applyBorder="1" applyAlignment="1">
      <alignment horizontal="right" vertical="top"/>
    </xf>
    <xf numFmtId="167" fontId="5" fillId="9" borderId="2" xfId="0" applyNumberFormat="1" applyFont="1" applyFill="1" applyBorder="1" applyAlignment="1">
      <alignment horizontal="right" vertical="top"/>
    </xf>
    <xf numFmtId="0" fontId="9" fillId="12" borderId="2" xfId="0" applyFont="1" applyFill="1" applyBorder="1" applyAlignment="1">
      <alignment vertical="top" wrapText="1"/>
    </xf>
    <xf numFmtId="0" fontId="10" fillId="13" borderId="2" xfId="0" applyFont="1" applyFill="1" applyBorder="1" applyAlignment="1">
      <alignment vertical="top" wrapText="1"/>
    </xf>
    <xf numFmtId="1" fontId="3" fillId="14" borderId="2" xfId="0" applyNumberFormat="1" applyFont="1" applyFill="1" applyBorder="1" applyAlignment="1">
      <alignment horizontal="right" vertical="top"/>
    </xf>
    <xf numFmtId="168" fontId="3" fillId="14" borderId="2" xfId="0" applyNumberFormat="1" applyFont="1" applyFill="1" applyBorder="1" applyAlignment="1">
      <alignment horizontal="right" vertical="top"/>
    </xf>
    <xf numFmtId="167" fontId="3" fillId="14" borderId="2" xfId="0" applyNumberFormat="1" applyFont="1" applyFill="1" applyBorder="1" applyAlignment="1">
      <alignment horizontal="right" vertical="top"/>
    </xf>
    <xf numFmtId="0" fontId="11" fillId="15" borderId="2" xfId="0" applyFont="1" applyFill="1" applyBorder="1" applyAlignment="1">
      <alignment vertical="top" wrapText="1"/>
    </xf>
    <xf numFmtId="168" fontId="5" fillId="7" borderId="2" xfId="0" applyNumberFormat="1" applyFont="1" applyFill="1" applyBorder="1" applyAlignment="1">
      <alignment horizontal="right" vertical="top"/>
    </xf>
    <xf numFmtId="168" fontId="5" fillId="9" borderId="2" xfId="0" applyNumberFormat="1" applyFont="1" applyFill="1" applyBorder="1" applyAlignment="1">
      <alignment horizontal="right" vertical="top"/>
    </xf>
    <xf numFmtId="165" fontId="3" fillId="14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dos vínculos fora do prazo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Pareto!$C$4</c:f>
              <c:strCache>
                <c:ptCount val="1"/>
                <c:pt idx="0">
                  <c:v>Ocorrências</c:v>
                </c:pt>
              </c:strCache>
            </c:strRef>
          </c:tx>
          <c:spPr>
            <a:solidFill>
              <a:srgbClr val="2D6A8A"/>
            </a:solidFill>
            <a:ln>
              <a:solidFill>
                <a:srgbClr val="17324D"/>
              </a:solidFill>
            </a:ln>
          </c:spPr>
          <c:cat>
            <c:strRef>
              <c:f>Pareto!$B$5:$B$6</c:f>
              <c:strCache>
                <c:ptCount val="2"/>
                <c:pt idx="0">
                  <c:v>Obra Acadêmica Norte</c:v>
                </c:pt>
                <c:pt idx="1">
                  <c:v>Obra Acadêmica Sul</c:v>
                </c:pt>
              </c:strCache>
            </c:strRef>
          </c:cat>
          <c:val>
            <c:numRef>
              <c:f>Pareto!$C$5:$C$6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strRef>
              <c:f>Pareto!$E$4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>
              <a:solidFill>
                <a:srgbClr val="D05A3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D05A3B"/>
                </a:solidFill>
              </a:ln>
            </c:spPr>
          </c:marker>
          <c:cat>
            <c:strRef>
              <c:f>Pareto!$B$5:$B$6</c:f>
              <c:strCache>
                <c:ptCount val="2"/>
                <c:pt idx="0">
                  <c:v>Obra Acadêmica Norte</c:v>
                </c:pt>
                <c:pt idx="1">
                  <c:v>Obra Acadêmica Sul</c:v>
                </c:pt>
              </c:strCache>
            </c:strRef>
          </c:cat>
          <c:val>
            <c:numRef>
              <c:f>Pareto!$E$5:$E$6</c:f>
              <c:numCache>
                <c:formatCode>General</c:formatCode>
                <c:ptCount val="2"/>
                <c:pt idx="0">
                  <c:v>0.5</c:v>
                </c:pt>
                <c:pt idx="1">
                  <c:v>1.0</c:v>
                </c:pt>
              </c:numCache>
            </c:numRef>
          </c:val>
        </c:ser>
        <c:ser>
          <c:idx val="2"/>
          <c:order val="2"/>
          <c:tx>
            <c:strRef>
              <c:f>Pareto!$F$4</c:f>
              <c:strCache>
                <c:ptCount val="1"/>
                <c:pt idx="0">
                  <c:v>Referência 80%</c:v>
                </c:pt>
              </c:strCache>
            </c:strRef>
          </c:tx>
          <c:spPr>
            <a:ln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Pareto!$B$5:$B$6</c:f>
              <c:strCache>
                <c:ptCount val="2"/>
                <c:pt idx="0">
                  <c:v>Obra Acadêmica Norte</c:v>
                </c:pt>
                <c:pt idx="1">
                  <c:v>Obra Acadêmica Sul</c:v>
                </c:pt>
              </c:strCache>
            </c:strRef>
          </c:cat>
          <c:val>
            <c:numRef>
              <c:f>Pareto!$F$5:$F$6</c:f>
              <c:numCache>
                <c:formatCode>General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7E0E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Ocorrências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between"/>
        <c:majorUnit val="1"/>
      </c:valAx>
      <c:valAx>
        <c:axId val="60010002"/>
        <c:scaling>
          <c:orientation val="minMax"/>
          <c:max val="1"/>
          <c:min val="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Percentual acumulado</a:t>
                </a:r>
              </a:p>
            </c:rich>
          </c:tx>
          <c:layout/>
        </c:title>
        <c:numFmt formatCode="0%" sourceLinked="0"/>
        <c:tickLblPos val="nextTo"/>
        <c:crossAx val="60010001"/>
        <c:crosses val="max"/>
        <c:crossBetween val="between"/>
        <c:majorUnit val="0.2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solidFill>
      <a:srgbClr val="FFFFFF"/>
    </a:solidFill>
    <a:ln>
      <a:solidFill>
        <a:srgbClr val="C9D3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66675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  <pageSetUpPr fitToPage="1"/>
  </sheetPr>
  <dimension ref="A1:H24"/>
  <sheetViews>
    <sheetView showGridLines="0" tabSelected="1" zoomScale="95" zoomScaleNormal="95" workbookViewId="0"/>
  </sheetViews>
  <sheetFormatPr defaultRowHeight="18" customHeight="1"/>
  <cols>
    <col min="1" max="2" width="15.7109375" customWidth="1"/>
    <col min="3" max="8" width="14.7109375" customWidth="1"/>
  </cols>
  <sheetData>
    <row r="1" spans="1:8" ht="29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23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34" customHeight="1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spans="1:8" ht="34" customHeight="1">
      <c r="A6" s="4" t="s">
        <v>5</v>
      </c>
      <c r="B6" s="4"/>
      <c r="C6" s="5" t="s">
        <v>6</v>
      </c>
      <c r="D6" s="5"/>
      <c r="E6" s="5"/>
      <c r="F6" s="5"/>
      <c r="G6" s="5"/>
      <c r="H6" s="5"/>
    </row>
    <row r="7" spans="1:8" ht="34" customHeight="1">
      <c r="A7" s="4" t="s">
        <v>7</v>
      </c>
      <c r="B7" s="4"/>
      <c r="C7" s="5" t="s">
        <v>8</v>
      </c>
      <c r="D7" s="5"/>
      <c r="E7" s="5"/>
      <c r="F7" s="5"/>
      <c r="G7" s="5"/>
      <c r="H7" s="5"/>
    </row>
    <row r="9" spans="1:8" ht="23" customHeight="1">
      <c r="A9" s="3" t="s">
        <v>9</v>
      </c>
      <c r="B9" s="3"/>
      <c r="C9" s="3"/>
      <c r="D9" s="3"/>
      <c r="E9" s="3"/>
      <c r="F9" s="3"/>
      <c r="G9" s="3"/>
      <c r="H9" s="3"/>
    </row>
    <row r="10" spans="1:8" ht="34" customHeight="1">
      <c r="A10" s="4" t="s">
        <v>10</v>
      </c>
      <c r="B10" s="4"/>
      <c r="C10" s="6">
        <v>45748</v>
      </c>
      <c r="D10" s="5"/>
      <c r="E10" s="5"/>
      <c r="F10" s="5"/>
      <c r="G10" s="5"/>
      <c r="H10" s="5"/>
    </row>
    <row r="11" spans="1:8" ht="34" customHeight="1">
      <c r="A11" s="4" t="s">
        <v>11</v>
      </c>
      <c r="B11" s="4"/>
      <c r="C11" s="7">
        <v>3</v>
      </c>
      <c r="D11" s="5"/>
      <c r="E11" s="5"/>
      <c r="F11" s="5"/>
      <c r="G11" s="5"/>
      <c r="H11" s="5"/>
    </row>
    <row r="12" spans="1:8" ht="34" customHeight="1">
      <c r="A12" s="4" t="s">
        <v>12</v>
      </c>
      <c r="B12" s="4"/>
      <c r="C12" s="5" t="s">
        <v>13</v>
      </c>
      <c r="D12" s="5"/>
      <c r="E12" s="5"/>
      <c r="F12" s="5"/>
      <c r="G12" s="5"/>
      <c r="H12" s="5"/>
    </row>
    <row r="13" spans="1:8" ht="34" customHeight="1">
      <c r="A13" s="4" t="s">
        <v>14</v>
      </c>
      <c r="B13" s="4"/>
      <c r="C13" s="5" t="s">
        <v>15</v>
      </c>
      <c r="D13" s="5"/>
      <c r="E13" s="5"/>
      <c r="F13" s="5"/>
      <c r="G13" s="5"/>
      <c r="H13" s="5"/>
    </row>
    <row r="14" spans="1:8" ht="34" customHeight="1">
      <c r="A14" s="4" t="s">
        <v>16</v>
      </c>
      <c r="B14" s="4"/>
      <c r="C14" s="5" t="s">
        <v>17</v>
      </c>
      <c r="D14" s="5"/>
      <c r="E14" s="5"/>
      <c r="F14" s="5"/>
      <c r="G14" s="5"/>
      <c r="H14" s="5"/>
    </row>
    <row r="16" spans="1:8" ht="23" customHeight="1">
      <c r="A16" s="3" t="s">
        <v>18</v>
      </c>
      <c r="B16" s="3"/>
      <c r="C16" s="3"/>
      <c r="D16" s="3"/>
      <c r="E16" s="3"/>
      <c r="F16" s="3"/>
      <c r="G16" s="3"/>
      <c r="H16" s="3"/>
    </row>
    <row r="17" spans="1:8" ht="34" customHeight="1">
      <c r="A17" s="4" t="s">
        <v>19</v>
      </c>
      <c r="B17" s="4"/>
      <c r="C17" s="5" t="s">
        <v>20</v>
      </c>
      <c r="D17" s="5"/>
      <c r="E17" s="5"/>
      <c r="F17" s="5"/>
      <c r="G17" s="5"/>
      <c r="H17" s="5"/>
    </row>
    <row r="18" spans="1:8" ht="34" customHeight="1">
      <c r="A18" s="4" t="s">
        <v>21</v>
      </c>
      <c r="B18" s="4"/>
      <c r="C18" s="5" t="s">
        <v>22</v>
      </c>
      <c r="D18" s="5"/>
      <c r="E18" s="5"/>
      <c r="F18" s="5"/>
      <c r="G18" s="5"/>
      <c r="H18" s="5"/>
    </row>
    <row r="19" spans="1:8" ht="47" customHeight="1">
      <c r="A19" s="4" t="s">
        <v>23</v>
      </c>
      <c r="B19" s="4"/>
      <c r="C19" s="5" t="s">
        <v>24</v>
      </c>
      <c r="D19" s="5"/>
      <c r="E19" s="5"/>
      <c r="F19" s="5"/>
      <c r="G19" s="5"/>
      <c r="H19" s="5"/>
    </row>
    <row r="20" spans="1:8" ht="34" customHeight="1">
      <c r="A20" s="4" t="s">
        <v>25</v>
      </c>
      <c r="B20" s="4"/>
      <c r="C20" s="5" t="s">
        <v>26</v>
      </c>
      <c r="D20" s="5"/>
      <c r="E20" s="5"/>
      <c r="F20" s="5"/>
      <c r="G20" s="5"/>
      <c r="H20" s="5"/>
    </row>
    <row r="22" spans="1:8" ht="23" customHeight="1">
      <c r="A22" s="3" t="s">
        <v>27</v>
      </c>
      <c r="B22" s="3"/>
      <c r="C22" s="3"/>
      <c r="D22" s="3"/>
      <c r="E22" s="3"/>
      <c r="F22" s="3"/>
      <c r="G22" s="3"/>
      <c r="H22" s="3"/>
    </row>
    <row r="23" spans="1:8" ht="47" customHeight="1">
      <c r="A23" s="4" t="s">
        <v>28</v>
      </c>
      <c r="B23" s="4"/>
      <c r="C23" s="5" t="s">
        <v>29</v>
      </c>
      <c r="D23" s="5"/>
      <c r="E23" s="5"/>
      <c r="F23" s="5"/>
      <c r="G23" s="5"/>
      <c r="H23" s="5"/>
    </row>
    <row r="24" spans="1:8" ht="47" customHeight="1">
      <c r="A24" s="4" t="s">
        <v>30</v>
      </c>
      <c r="B24" s="4"/>
      <c r="C24" s="5" t="s">
        <v>31</v>
      </c>
      <c r="D24" s="5"/>
      <c r="E24" s="5"/>
      <c r="F24" s="5"/>
      <c r="G24" s="5"/>
      <c r="H24" s="5"/>
    </row>
  </sheetData>
  <mergeCells count="34">
    <mergeCell ref="A1:H1"/>
    <mergeCell ref="A2:H2"/>
    <mergeCell ref="A4:H4"/>
    <mergeCell ref="A5:B5"/>
    <mergeCell ref="C5:H5"/>
    <mergeCell ref="A6:B6"/>
    <mergeCell ref="C6:H6"/>
    <mergeCell ref="A7:B7"/>
    <mergeCell ref="C7:H7"/>
    <mergeCell ref="A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6:H16"/>
    <mergeCell ref="A17:B17"/>
    <mergeCell ref="C17:H17"/>
    <mergeCell ref="A18:B18"/>
    <mergeCell ref="C18:H18"/>
    <mergeCell ref="A19:B19"/>
    <mergeCell ref="C19:H19"/>
    <mergeCell ref="A20:B20"/>
    <mergeCell ref="C20:H20"/>
    <mergeCell ref="A22:H22"/>
    <mergeCell ref="A23:B23"/>
    <mergeCell ref="C23:H23"/>
    <mergeCell ref="A24:B24"/>
    <mergeCell ref="C24:H24"/>
  </mergeCells>
  <printOptions horizontalCentered="1"/>
  <pageMargins left="0.3" right="0.3" top="0.45" bottom="0.55" header="0.3" footer="0.25"/>
  <pageSetup paperSize="9" fitToHeight="0" orientation="portrait"/>
  <headerFooter>
    <oddFooter>&amp;L&amp;A&amp;R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5B7A"/>
    <pageSetUpPr autoPageBreaks="0" fitToPage="1"/>
  </sheetPr>
  <dimension ref="A1:N17"/>
  <sheetViews>
    <sheetView showGridLines="0" zoomScale="90" zoomScaleNormal="90" workbookViewId="0"/>
  </sheetViews>
  <sheetFormatPr defaultRowHeight="18" customHeight="1" outlineLevelCol="1"/>
  <cols>
    <col min="1" max="1" width="18.7109375" customWidth="1"/>
    <col min="2" max="3" width="24.7109375" customWidth="1"/>
    <col min="4" max="4" width="23.7109375" customWidth="1"/>
    <col min="5" max="5" width="20.7109375" customWidth="1"/>
    <col min="6" max="7" width="22.7109375" customWidth="1"/>
    <col min="8" max="14" width="22.7109375" hidden="1" customWidth="1" outlineLevel="1"/>
    <col min="15" max="15" width="2.7109375" customWidth="1" collapsed="1"/>
  </cols>
  <sheetData>
    <row r="1" spans="1:14" ht="29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" customHeight="1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spans="1:14" ht="38" customHeight="1">
      <c r="A5" s="8" t="s">
        <v>34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8" t="s">
        <v>43</v>
      </c>
      <c r="K5" s="8" t="s">
        <v>44</v>
      </c>
      <c r="L5" s="8" t="s">
        <v>45</v>
      </c>
      <c r="M5" s="8" t="s">
        <v>46</v>
      </c>
      <c r="N5" s="8" t="s">
        <v>47</v>
      </c>
    </row>
    <row r="6" spans="1:14" ht="32" customHeight="1">
      <c r="A6" s="9" t="s">
        <v>48</v>
      </c>
      <c r="B6" s="9" t="s">
        <v>49</v>
      </c>
      <c r="C6" s="9" t="s">
        <v>50</v>
      </c>
      <c r="D6" s="6">
        <v>45672</v>
      </c>
      <c r="E6" s="10">
        <v>1250</v>
      </c>
      <c r="F6" s="9" t="s">
        <v>51</v>
      </c>
      <c r="G6" s="9" t="s">
        <v>52</v>
      </c>
      <c r="H6" s="9" t="s">
        <v>53</v>
      </c>
      <c r="I6" s="9" t="s">
        <v>54</v>
      </c>
      <c r="J6" s="9" t="s">
        <v>55</v>
      </c>
      <c r="K6" s="9" t="b">
        <v>1</v>
      </c>
      <c r="L6" s="9" t="s">
        <v>56</v>
      </c>
      <c r="M6" s="9" t="s">
        <v>57</v>
      </c>
      <c r="N6" s="9"/>
    </row>
    <row r="7" spans="1:14" ht="32" customHeight="1">
      <c r="A7" s="11" t="s">
        <v>58</v>
      </c>
      <c r="B7" s="11" t="s">
        <v>59</v>
      </c>
      <c r="C7" s="11" t="s">
        <v>60</v>
      </c>
      <c r="D7" s="12">
        <v>45708</v>
      </c>
      <c r="E7" s="13">
        <v>2780</v>
      </c>
      <c r="F7" s="11" t="s">
        <v>51</v>
      </c>
      <c r="G7" s="11"/>
      <c r="H7" s="11" t="s">
        <v>61</v>
      </c>
      <c r="I7" s="11" t="s">
        <v>54</v>
      </c>
      <c r="J7" s="11"/>
      <c r="K7" s="11" t="b">
        <v>0</v>
      </c>
      <c r="L7" s="11" t="s">
        <v>62</v>
      </c>
      <c r="M7" s="11" t="s">
        <v>57</v>
      </c>
      <c r="N7" s="11"/>
    </row>
    <row r="8" spans="1:14" ht="32" customHeight="1">
      <c r="A8" s="9" t="s">
        <v>63</v>
      </c>
      <c r="B8" s="9" t="s">
        <v>64</v>
      </c>
      <c r="C8" s="9" t="s">
        <v>65</v>
      </c>
      <c r="D8" s="6">
        <v>45728</v>
      </c>
      <c r="E8" s="10">
        <v>4150</v>
      </c>
      <c r="F8" s="9" t="s">
        <v>51</v>
      </c>
      <c r="G8" s="9"/>
      <c r="H8" s="9" t="s">
        <v>66</v>
      </c>
      <c r="I8" s="9" t="s">
        <v>54</v>
      </c>
      <c r="J8" s="9"/>
      <c r="K8" s="9" t="b">
        <v>0</v>
      </c>
      <c r="L8" s="9" t="s">
        <v>67</v>
      </c>
      <c r="M8" s="9" t="s">
        <v>57</v>
      </c>
      <c r="N8" s="9"/>
    </row>
    <row r="9" spans="1:14" ht="32" customHeight="1">
      <c r="A9" s="11" t="s">
        <v>68</v>
      </c>
      <c r="B9" s="11" t="s">
        <v>69</v>
      </c>
      <c r="C9" s="11" t="s">
        <v>50</v>
      </c>
      <c r="D9" s="12">
        <v>45685</v>
      </c>
      <c r="E9" s="13">
        <v>4320.5</v>
      </c>
      <c r="F9" s="11" t="s">
        <v>70</v>
      </c>
      <c r="G9" s="11" t="s">
        <v>52</v>
      </c>
      <c r="H9" s="11" t="s">
        <v>71</v>
      </c>
      <c r="I9" s="11" t="s">
        <v>72</v>
      </c>
      <c r="J9" s="11" t="s">
        <v>55</v>
      </c>
      <c r="K9" s="11" t="b">
        <v>1</v>
      </c>
      <c r="L9" s="11" t="s">
        <v>56</v>
      </c>
      <c r="M9" s="11" t="s">
        <v>57</v>
      </c>
      <c r="N9" s="11"/>
    </row>
    <row r="10" spans="1:14" ht="32" customHeight="1">
      <c r="A10" s="9" t="s">
        <v>73</v>
      </c>
      <c r="B10" s="9" t="s">
        <v>74</v>
      </c>
      <c r="C10" s="9" t="s">
        <v>60</v>
      </c>
      <c r="D10" s="6">
        <v>45702</v>
      </c>
      <c r="E10" s="10">
        <v>16875</v>
      </c>
      <c r="F10" s="9" t="s">
        <v>70</v>
      </c>
      <c r="G10" s="9" t="s">
        <v>52</v>
      </c>
      <c r="H10" s="9" t="s">
        <v>75</v>
      </c>
      <c r="I10" s="9" t="s">
        <v>72</v>
      </c>
      <c r="J10" s="9" t="s">
        <v>55</v>
      </c>
      <c r="K10" s="9" t="b">
        <v>1</v>
      </c>
      <c r="L10" s="9" t="s">
        <v>62</v>
      </c>
      <c r="M10" s="9" t="s">
        <v>57</v>
      </c>
      <c r="N10" s="9"/>
    </row>
    <row r="11" spans="1:14" ht="32" customHeight="1">
      <c r="A11" s="11" t="s">
        <v>76</v>
      </c>
      <c r="B11" s="11" t="s">
        <v>77</v>
      </c>
      <c r="C11" s="11" t="s">
        <v>78</v>
      </c>
      <c r="D11" s="12">
        <v>45721</v>
      </c>
      <c r="E11" s="13">
        <v>2890.75</v>
      </c>
      <c r="F11" s="11" t="s">
        <v>70</v>
      </c>
      <c r="G11" s="11" t="s">
        <v>52</v>
      </c>
      <c r="H11" s="11" t="s">
        <v>79</v>
      </c>
      <c r="I11" s="11" t="s">
        <v>72</v>
      </c>
      <c r="J11" s="11" t="s">
        <v>55</v>
      </c>
      <c r="K11" s="11" t="b">
        <v>1</v>
      </c>
      <c r="L11" s="11" t="s">
        <v>80</v>
      </c>
      <c r="M11" s="11" t="s">
        <v>57</v>
      </c>
      <c r="N11" s="11"/>
    </row>
    <row r="12" spans="1:14" ht="32" customHeight="1">
      <c r="A12" s="9" t="s">
        <v>81</v>
      </c>
      <c r="B12" s="9" t="s">
        <v>82</v>
      </c>
      <c r="C12" s="9" t="s">
        <v>50</v>
      </c>
      <c r="D12" s="6">
        <v>45666</v>
      </c>
      <c r="E12" s="10">
        <v>9250</v>
      </c>
      <c r="F12" s="9" t="s">
        <v>83</v>
      </c>
      <c r="G12" s="9" t="s">
        <v>52</v>
      </c>
      <c r="H12" s="9" t="s">
        <v>84</v>
      </c>
      <c r="I12" s="9" t="s">
        <v>85</v>
      </c>
      <c r="J12" s="9" t="s">
        <v>55</v>
      </c>
      <c r="K12" s="9" t="b">
        <v>1</v>
      </c>
      <c r="L12" s="9" t="s">
        <v>56</v>
      </c>
      <c r="M12" s="9" t="s">
        <v>57</v>
      </c>
      <c r="N12" s="9"/>
    </row>
    <row r="13" spans="1:14" ht="32" customHeight="1">
      <c r="A13" s="11" t="s">
        <v>86</v>
      </c>
      <c r="B13" s="11" t="s">
        <v>87</v>
      </c>
      <c r="C13" s="11" t="s">
        <v>65</v>
      </c>
      <c r="D13" s="12">
        <v>45691</v>
      </c>
      <c r="E13" s="13">
        <v>3140.25</v>
      </c>
      <c r="F13" s="11" t="s">
        <v>83</v>
      </c>
      <c r="G13" s="11" t="s">
        <v>52</v>
      </c>
      <c r="H13" s="11" t="s">
        <v>88</v>
      </c>
      <c r="I13" s="11" t="s">
        <v>85</v>
      </c>
      <c r="J13" s="11" t="s">
        <v>55</v>
      </c>
      <c r="K13" s="11" t="b">
        <v>1</v>
      </c>
      <c r="L13" s="11" t="s">
        <v>67</v>
      </c>
      <c r="M13" s="11" t="s">
        <v>57</v>
      </c>
      <c r="N13" s="11"/>
    </row>
    <row r="14" spans="1:14" ht="32" customHeight="1">
      <c r="A14" s="9" t="s">
        <v>89</v>
      </c>
      <c r="B14" s="9" t="s">
        <v>90</v>
      </c>
      <c r="C14" s="9" t="s">
        <v>78</v>
      </c>
      <c r="D14" s="6">
        <v>45734</v>
      </c>
      <c r="E14" s="10">
        <v>18760</v>
      </c>
      <c r="F14" s="9" t="s">
        <v>83</v>
      </c>
      <c r="G14" s="9" t="s">
        <v>52</v>
      </c>
      <c r="H14" s="9" t="s">
        <v>91</v>
      </c>
      <c r="I14" s="9" t="s">
        <v>85</v>
      </c>
      <c r="J14" s="9" t="s">
        <v>55</v>
      </c>
      <c r="K14" s="9" t="b">
        <v>1</v>
      </c>
      <c r="L14" s="9" t="s">
        <v>80</v>
      </c>
      <c r="M14" s="9" t="s">
        <v>57</v>
      </c>
      <c r="N14" s="9"/>
    </row>
    <row r="15" spans="1:14" ht="32" customHeight="1">
      <c r="A15" s="11" t="s">
        <v>92</v>
      </c>
      <c r="B15" s="11" t="s">
        <v>93</v>
      </c>
      <c r="C15" s="11" t="s">
        <v>60</v>
      </c>
      <c r="D15" s="12">
        <v>45679</v>
      </c>
      <c r="E15" s="13">
        <v>2100</v>
      </c>
      <c r="F15" s="11" t="s">
        <v>94</v>
      </c>
      <c r="G15" s="11" t="s">
        <v>52</v>
      </c>
      <c r="H15" s="11" t="s">
        <v>95</v>
      </c>
      <c r="I15" s="11" t="s">
        <v>96</v>
      </c>
      <c r="J15" s="11" t="s">
        <v>55</v>
      </c>
      <c r="K15" s="11" t="b">
        <v>1</v>
      </c>
      <c r="L15" s="11" t="s">
        <v>62</v>
      </c>
      <c r="M15" s="11" t="s">
        <v>57</v>
      </c>
      <c r="N15" s="11"/>
    </row>
    <row r="16" spans="1:14" ht="32" customHeight="1">
      <c r="A16" s="9" t="s">
        <v>97</v>
      </c>
      <c r="B16" s="9" t="s">
        <v>49</v>
      </c>
      <c r="C16" s="9" t="s">
        <v>65</v>
      </c>
      <c r="D16" s="6">
        <v>45714</v>
      </c>
      <c r="E16" s="10">
        <v>5875</v>
      </c>
      <c r="F16" s="9" t="s">
        <v>94</v>
      </c>
      <c r="G16" s="9" t="s">
        <v>52</v>
      </c>
      <c r="H16" s="9" t="s">
        <v>98</v>
      </c>
      <c r="I16" s="9" t="s">
        <v>96</v>
      </c>
      <c r="J16" s="9" t="s">
        <v>55</v>
      </c>
      <c r="K16" s="9" t="b">
        <v>1</v>
      </c>
      <c r="L16" s="9" t="s">
        <v>67</v>
      </c>
      <c r="M16" s="9" t="s">
        <v>57</v>
      </c>
      <c r="N16" s="9"/>
    </row>
    <row r="17" spans="1:14" ht="32" customHeight="1">
      <c r="A17" s="11" t="s">
        <v>99</v>
      </c>
      <c r="B17" s="11" t="s">
        <v>59</v>
      </c>
      <c r="C17" s="11" t="s">
        <v>50</v>
      </c>
      <c r="D17" s="12">
        <v>45741</v>
      </c>
      <c r="E17" s="13">
        <v>990</v>
      </c>
      <c r="F17" s="11" t="s">
        <v>94</v>
      </c>
      <c r="G17" s="11" t="s">
        <v>52</v>
      </c>
      <c r="H17" s="11" t="s">
        <v>100</v>
      </c>
      <c r="I17" s="11" t="s">
        <v>96</v>
      </c>
      <c r="J17" s="11" t="s">
        <v>55</v>
      </c>
      <c r="K17" s="11" t="b">
        <v>1</v>
      </c>
      <c r="L17" s="11" t="s">
        <v>56</v>
      </c>
      <c r="M17" s="11" t="s">
        <v>57</v>
      </c>
      <c r="N17" s="11"/>
    </row>
  </sheetData>
  <autoFilter ref="A5:N17"/>
  <mergeCells count="2">
    <mergeCell ref="A1:N1"/>
    <mergeCell ref="A2:N2"/>
  </mergeCells>
  <printOptions horizontalCentered="1"/>
  <pageMargins left="0.3" right="0.3" top="0.45" bottom="0.55" header="0.3" footer="0.25"/>
  <pageSetup paperSize="9" orientation="landscape"/>
  <headerFooter>
    <oddFooter>&amp;L&amp;A&amp;R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6A8A"/>
    <pageSetUpPr autoPageBreaks="0" fitToPage="1"/>
  </sheetPr>
  <dimension ref="A1:R12"/>
  <sheetViews>
    <sheetView showGridLines="0" zoomScale="90" zoomScaleNormal="90" workbookViewId="0"/>
  </sheetViews>
  <sheetFormatPr defaultRowHeight="18" customHeight="1" outlineLevelCol="1"/>
  <cols>
    <col min="1" max="1" width="17.7109375" customWidth="1"/>
    <col min="2" max="2" width="18.7109375" customWidth="1"/>
    <col min="3" max="3" width="23.7109375" customWidth="1"/>
    <col min="4" max="4" width="25.7109375" customWidth="1"/>
    <col min="5" max="6" width="14.7109375" customWidth="1"/>
    <col min="7" max="7" width="18.7109375" customWidth="1"/>
    <col min="8" max="8" width="19.7109375" customWidth="1"/>
    <col min="9" max="18" width="20.7109375" hidden="1" customWidth="1" outlineLevel="1"/>
    <col min="19" max="19" width="2.7109375" customWidth="1" collapsed="1"/>
  </cols>
  <sheetData>
    <row r="1" spans="1:18" ht="29" customHeight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4" customHeight="1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5" spans="1:18" ht="38" customHeight="1">
      <c r="A5" s="8" t="s">
        <v>103</v>
      </c>
      <c r="B5" s="8" t="s">
        <v>34</v>
      </c>
      <c r="C5" s="8" t="s">
        <v>36</v>
      </c>
      <c r="D5" s="8" t="s">
        <v>35</v>
      </c>
      <c r="E5" s="8" t="s">
        <v>104</v>
      </c>
      <c r="F5" s="8" t="s">
        <v>105</v>
      </c>
      <c r="G5" s="8" t="s">
        <v>106</v>
      </c>
      <c r="H5" s="8" t="s">
        <v>107</v>
      </c>
      <c r="I5" s="8" t="s">
        <v>41</v>
      </c>
      <c r="J5" s="8" t="s">
        <v>45</v>
      </c>
      <c r="K5" s="8" t="s">
        <v>108</v>
      </c>
      <c r="L5" s="8" t="s">
        <v>109</v>
      </c>
      <c r="M5" s="8" t="s">
        <v>110</v>
      </c>
      <c r="N5" s="8" t="s">
        <v>111</v>
      </c>
      <c r="O5" s="8" t="s">
        <v>112</v>
      </c>
      <c r="P5" s="8" t="s">
        <v>113</v>
      </c>
      <c r="Q5" s="8" t="s">
        <v>114</v>
      </c>
      <c r="R5" s="8" t="s">
        <v>115</v>
      </c>
    </row>
    <row r="6" spans="1:18" ht="32" customHeight="1">
      <c r="A6" s="9" t="s">
        <v>116</v>
      </c>
      <c r="B6" s="9" t="s">
        <v>48</v>
      </c>
      <c r="C6" s="9" t="s">
        <v>50</v>
      </c>
      <c r="D6" s="9" t="s">
        <v>49</v>
      </c>
      <c r="E6" s="6">
        <v>45717</v>
      </c>
      <c r="F6" s="6">
        <v>45719</v>
      </c>
      <c r="G6" s="14">
        <f>IF(E6="","",IF(F6="",'Leia-me'!$C$10-E6,F6-E6))</f>
        <v>2.0</v>
      </c>
      <c r="H6" s="15" t="str">
        <f>IF(F6="",IF(G6&gt;'Leia-me'!$C$11,"Aberto vencido","Aberto no prazo"),IF(G6&gt;'Leia-me'!$C$11,"Fora do prazo","Dentro do prazo"))</f>
        <v>Dentro do prazo</v>
      </c>
      <c r="I6" s="9" t="s">
        <v>53</v>
      </c>
      <c r="J6" s="9" t="s">
        <v>56</v>
      </c>
      <c r="K6" s="7">
        <f>--(Q6="valid")</f>
        <v>1</v>
      </c>
      <c r="L6" s="7">
        <f>--AND(K6=1,F6&lt;&gt;"")</f>
        <v>1</v>
      </c>
      <c r="M6" s="7">
        <f>--AND(K6=1,L6=1,G6&gt;'Leia-me'!$C$11)</f>
        <v>0</v>
      </c>
      <c r="N6" s="7">
        <f>--AND(K6=1,F6="")</f>
        <v>0</v>
      </c>
      <c r="O6" s="7">
        <f>--AND(N6=1,G6&gt;'Leia-me'!$C$11)</f>
        <v>0</v>
      </c>
      <c r="P6" s="16">
        <f>IF(L6=1,G6,"")</f>
        <v>2.0</v>
      </c>
      <c r="Q6" s="9" t="s">
        <v>117</v>
      </c>
      <c r="R6" s="9"/>
    </row>
    <row r="7" spans="1:18" ht="32" customHeight="1">
      <c r="A7" s="11" t="s">
        <v>118</v>
      </c>
      <c r="B7" s="11" t="s">
        <v>68</v>
      </c>
      <c r="C7" s="11" t="s">
        <v>50</v>
      </c>
      <c r="D7" s="11" t="s">
        <v>69</v>
      </c>
      <c r="E7" s="12">
        <v>45726</v>
      </c>
      <c r="F7" s="12">
        <v>45730</v>
      </c>
      <c r="G7" s="17">
        <f>IF(E7="","",IF(F7="",'Leia-me'!$C$10-E7,F7-E7))</f>
        <v>4.0</v>
      </c>
      <c r="H7" s="18" t="str">
        <f>IF(F7="",IF(G7&gt;'Leia-me'!$C$11,"Aberto vencido","Aberto no prazo"),IF(G7&gt;'Leia-me'!$C$11,"Fora do prazo","Dentro do prazo"))</f>
        <v>Fora do prazo</v>
      </c>
      <c r="I7" s="11" t="s">
        <v>71</v>
      </c>
      <c r="J7" s="11" t="s">
        <v>56</v>
      </c>
      <c r="K7" s="19">
        <f>--(Q7="valid")</f>
        <v>1</v>
      </c>
      <c r="L7" s="19">
        <f>--AND(K7=1,F7&lt;&gt;"")</f>
        <v>1</v>
      </c>
      <c r="M7" s="19">
        <f>--AND(K7=1,L7=1,G7&gt;'Leia-me'!$C$11)</f>
        <v>1</v>
      </c>
      <c r="N7" s="19">
        <f>--AND(K7=1,F7="")</f>
        <v>0</v>
      </c>
      <c r="O7" s="19">
        <f>--AND(N7=1,G7&gt;'Leia-me'!$C$11)</f>
        <v>0</v>
      </c>
      <c r="P7" s="20">
        <f>IF(L7=1,G7,"")</f>
        <v>4.0</v>
      </c>
      <c r="Q7" s="11" t="s">
        <v>117</v>
      </c>
      <c r="R7" s="11"/>
    </row>
    <row r="8" spans="1:18" ht="32" customHeight="1">
      <c r="A8" s="9" t="s">
        <v>119</v>
      </c>
      <c r="B8" s="9" t="s">
        <v>68</v>
      </c>
      <c r="C8" s="9" t="s">
        <v>50</v>
      </c>
      <c r="D8" s="9" t="s">
        <v>69</v>
      </c>
      <c r="E8" s="6">
        <v>45731</v>
      </c>
      <c r="F8" s="6">
        <v>45733</v>
      </c>
      <c r="G8" s="14">
        <f>IF(E8="","",IF(F8="",'Leia-me'!$C$10-E8,F8-E8))</f>
        <v>2.0</v>
      </c>
      <c r="H8" s="15" t="str">
        <f>IF(F8="",IF(G8&gt;'Leia-me'!$C$11,"Aberto vencido","Aberto no prazo"),IF(G8&gt;'Leia-me'!$C$11,"Fora do prazo","Dentro do prazo"))</f>
        <v>Dentro do prazo</v>
      </c>
      <c r="I8" s="9" t="s">
        <v>71</v>
      </c>
      <c r="J8" s="9" t="s">
        <v>56</v>
      </c>
      <c r="K8" s="7">
        <f>--(Q8="valid")</f>
        <v>1</v>
      </c>
      <c r="L8" s="7">
        <f>--AND(K8=1,F8&lt;&gt;"")</f>
        <v>1</v>
      </c>
      <c r="M8" s="7">
        <f>--AND(K8=1,L8=1,G8&gt;'Leia-me'!$C$11)</f>
        <v>0</v>
      </c>
      <c r="N8" s="7">
        <f>--AND(K8=1,F8="")</f>
        <v>0</v>
      </c>
      <c r="O8" s="7">
        <f>--AND(N8=1,G8&gt;'Leia-me'!$C$11)</f>
        <v>0</v>
      </c>
      <c r="P8" s="16">
        <f>IF(L8=1,G8,"")</f>
        <v>2.0</v>
      </c>
      <c r="Q8" s="9" t="s">
        <v>117</v>
      </c>
      <c r="R8" s="9"/>
    </row>
    <row r="9" spans="1:18" ht="32" customHeight="1">
      <c r="A9" s="11" t="s">
        <v>120</v>
      </c>
      <c r="B9" s="11" t="s">
        <v>58</v>
      </c>
      <c r="C9" s="11" t="s">
        <v>60</v>
      </c>
      <c r="D9" s="11" t="s">
        <v>59</v>
      </c>
      <c r="E9" s="12">
        <v>45746</v>
      </c>
      <c r="F9" s="12"/>
      <c r="G9" s="17">
        <f>IF(E9="","",IF(F9="",'Leia-me'!$C$10-E9,F9-E9))</f>
        <v>2.0</v>
      </c>
      <c r="H9" s="21" t="str">
        <f>IF(F9="",IF(G9&gt;'Leia-me'!$C$11,"Aberto vencido","Aberto no prazo"),IF(G9&gt;'Leia-me'!$C$11,"Fora do prazo","Dentro do prazo"))</f>
        <v>Aberto no prazo</v>
      </c>
      <c r="I9" s="11" t="s">
        <v>61</v>
      </c>
      <c r="J9" s="11" t="s">
        <v>62</v>
      </c>
      <c r="K9" s="19">
        <f>--(Q9="valid")</f>
        <v>1</v>
      </c>
      <c r="L9" s="19">
        <f>--AND(K9=1,F9&lt;&gt;"")</f>
        <v>0</v>
      </c>
      <c r="M9" s="19">
        <f>--AND(K9=1,L9=1,G9&gt;'Leia-me'!$C$11)</f>
        <v>0</v>
      </c>
      <c r="N9" s="19">
        <f>--AND(K9=1,F9="")</f>
        <v>1</v>
      </c>
      <c r="O9" s="19">
        <f>--AND(N9=1,G9&gt;'Leia-me'!$C$11)</f>
        <v>0</v>
      </c>
      <c r="P9" s="20">
        <f>IF(L9=1,G9,"")</f>
        <v/>
      </c>
      <c r="Q9" s="11" t="s">
        <v>117</v>
      </c>
      <c r="R9" s="11"/>
    </row>
    <row r="10" spans="1:18" ht="32" customHeight="1">
      <c r="A10" s="9" t="s">
        <v>121</v>
      </c>
      <c r="B10" s="9" t="s">
        <v>63</v>
      </c>
      <c r="C10" s="9" t="s">
        <v>65</v>
      </c>
      <c r="D10" s="9" t="s">
        <v>64</v>
      </c>
      <c r="E10" s="6">
        <v>45736</v>
      </c>
      <c r="F10" s="6"/>
      <c r="G10" s="14">
        <f>IF(E10="","",IF(F10="",'Leia-me'!$C$10-E10,F10-E10))</f>
        <v>12.0</v>
      </c>
      <c r="H10" s="22" t="str">
        <f>IF(F10="",IF(G10&gt;'Leia-me'!$C$11,"Aberto vencido","Aberto no prazo"),IF(G10&gt;'Leia-me'!$C$11,"Fora do prazo","Dentro do prazo"))</f>
        <v>Aberto vencido</v>
      </c>
      <c r="I10" s="9" t="s">
        <v>66</v>
      </c>
      <c r="J10" s="9" t="s">
        <v>67</v>
      </c>
      <c r="K10" s="7">
        <f>--(Q10="valid")</f>
        <v>1</v>
      </c>
      <c r="L10" s="7">
        <f>--AND(K10=1,F10&lt;&gt;"")</f>
        <v>0</v>
      </c>
      <c r="M10" s="7">
        <f>--AND(K10=1,L10=1,G10&gt;'Leia-me'!$C$11)</f>
        <v>0</v>
      </c>
      <c r="N10" s="7">
        <f>--AND(K10=1,F10="")</f>
        <v>1</v>
      </c>
      <c r="O10" s="7">
        <f>--AND(N10=1,G10&gt;'Leia-me'!$C$11)</f>
        <v>1</v>
      </c>
      <c r="P10" s="16">
        <f>IF(L10=1,G10,"")</f>
        <v/>
      </c>
      <c r="Q10" s="9" t="s">
        <v>117</v>
      </c>
      <c r="R10" s="9"/>
    </row>
    <row r="11" spans="1:18" ht="32" customHeight="1">
      <c r="A11" s="11" t="s">
        <v>122</v>
      </c>
      <c r="B11" s="11" t="s">
        <v>73</v>
      </c>
      <c r="C11" s="11" t="s">
        <v>60</v>
      </c>
      <c r="D11" s="11" t="s">
        <v>74</v>
      </c>
      <c r="E11" s="12">
        <v>45741</v>
      </c>
      <c r="F11" s="12">
        <v>45744</v>
      </c>
      <c r="G11" s="17">
        <f>IF(E11="","",IF(F11="",'Leia-me'!$C$10-E11,F11-E11))</f>
        <v>3.0</v>
      </c>
      <c r="H11" s="15" t="str">
        <f>IF(F11="",IF(G11&gt;'Leia-me'!$C$11,"Aberto vencido","Aberto no prazo"),IF(G11&gt;'Leia-me'!$C$11,"Fora do prazo","Dentro do prazo"))</f>
        <v>Dentro do prazo</v>
      </c>
      <c r="I11" s="11" t="s">
        <v>75</v>
      </c>
      <c r="J11" s="11" t="s">
        <v>62</v>
      </c>
      <c r="K11" s="19">
        <f>--(Q11="valid")</f>
        <v>1</v>
      </c>
      <c r="L11" s="19">
        <f>--AND(K11=1,F11&lt;&gt;"")</f>
        <v>1</v>
      </c>
      <c r="M11" s="19">
        <f>--AND(K11=1,L11=1,G11&gt;'Leia-me'!$C$11)</f>
        <v>0</v>
      </c>
      <c r="N11" s="19">
        <f>--AND(K11=1,F11="")</f>
        <v>0</v>
      </c>
      <c r="O11" s="19">
        <f>--AND(N11=1,G11&gt;'Leia-me'!$C$11)</f>
        <v>0</v>
      </c>
      <c r="P11" s="20">
        <f>IF(L11=1,G11,"")</f>
        <v>3.0</v>
      </c>
      <c r="Q11" s="11" t="s">
        <v>117</v>
      </c>
      <c r="R11" s="11"/>
    </row>
    <row r="12" spans="1:18" ht="32" customHeight="1">
      <c r="A12" s="9" t="s">
        <v>123</v>
      </c>
      <c r="B12" s="9" t="s">
        <v>86</v>
      </c>
      <c r="C12" s="9" t="s">
        <v>65</v>
      </c>
      <c r="D12" s="9" t="s">
        <v>87</v>
      </c>
      <c r="E12" s="6">
        <v>45721</v>
      </c>
      <c r="F12" s="6">
        <v>45725</v>
      </c>
      <c r="G12" s="14">
        <f>IF(E12="","",IF(F12="",'Leia-me'!$C$10-E12,F12-E12))</f>
        <v>4.0</v>
      </c>
      <c r="H12" s="18" t="str">
        <f>IF(F12="",IF(G12&gt;'Leia-me'!$C$11,"Aberto vencido","Aberto no prazo"),IF(G12&gt;'Leia-me'!$C$11,"Fora do prazo","Dentro do prazo"))</f>
        <v>Fora do prazo</v>
      </c>
      <c r="I12" s="9" t="s">
        <v>88</v>
      </c>
      <c r="J12" s="9" t="s">
        <v>67</v>
      </c>
      <c r="K12" s="7">
        <f>--(Q12="valid")</f>
        <v>1</v>
      </c>
      <c r="L12" s="7">
        <f>--AND(K12=1,F12&lt;&gt;"")</f>
        <v>1</v>
      </c>
      <c r="M12" s="7">
        <f>--AND(K12=1,L12=1,G12&gt;'Leia-me'!$C$11)</f>
        <v>1</v>
      </c>
      <c r="N12" s="7">
        <f>--AND(K12=1,F12="")</f>
        <v>0</v>
      </c>
      <c r="O12" s="7">
        <f>--AND(N12=1,G12&gt;'Leia-me'!$C$11)</f>
        <v>0</v>
      </c>
      <c r="P12" s="16">
        <f>IF(L12=1,G12,"")</f>
        <v>4.0</v>
      </c>
      <c r="Q12" s="9" t="s">
        <v>117</v>
      </c>
      <c r="R12" s="9"/>
    </row>
  </sheetData>
  <autoFilter ref="A5:R12"/>
  <mergeCells count="2">
    <mergeCell ref="A1:R1"/>
    <mergeCell ref="A2:R2"/>
  </mergeCells>
  <printOptions horizontalCentered="1"/>
  <pageMargins left="0.3" right="0.3" top="0.45" bottom="0.55" header="0.3" footer="0.25"/>
  <pageSetup paperSize="9" orientation="landscape"/>
  <headerFooter>
    <oddFooter>&amp;L&amp;A&amp;R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C7A91"/>
    <pageSetUpPr fitToPage="1"/>
  </sheetPr>
  <dimension ref="A1:F19"/>
  <sheetViews>
    <sheetView showGridLines="0" zoomScale="95" zoomScaleNormal="95" workbookViewId="0">
      <pane ySplit="5" topLeftCell="A6" activePane="bottomLeft" state="frozen"/>
      <selection pane="bottomLeft"/>
    </sheetView>
  </sheetViews>
  <sheetFormatPr defaultRowHeight="18" customHeight="1"/>
  <cols>
    <col min="1" max="1" width="38.7109375" customWidth="1"/>
    <col min="2" max="2" width="18.7109375" customWidth="1"/>
    <col min="3" max="6" width="17.7109375" customWidth="1"/>
  </cols>
  <sheetData>
    <row r="1" spans="1:6" ht="29" customHeight="1">
      <c r="A1" s="1" t="s">
        <v>124</v>
      </c>
      <c r="B1" s="1"/>
      <c r="C1" s="1"/>
      <c r="D1" s="1"/>
      <c r="E1" s="1"/>
      <c r="F1" s="1"/>
    </row>
    <row r="2" spans="1:6" ht="34" customHeight="1">
      <c r="A2" s="2" t="s">
        <v>125</v>
      </c>
      <c r="B2" s="2"/>
      <c r="C2" s="2"/>
      <c r="D2" s="2"/>
      <c r="E2" s="2"/>
      <c r="F2" s="2"/>
    </row>
    <row r="4" spans="1:6" ht="18" customHeight="1">
      <c r="A4" s="3" t="s">
        <v>126</v>
      </c>
      <c r="B4" s="3"/>
      <c r="C4" s="3"/>
      <c r="D4" s="3"/>
      <c r="E4" s="3"/>
      <c r="F4" s="3"/>
    </row>
    <row r="5" spans="1:6" ht="18" customHeight="1">
      <c r="A5" s="8" t="s">
        <v>127</v>
      </c>
      <c r="B5" s="8" t="s">
        <v>128</v>
      </c>
      <c r="C5" s="8" t="s">
        <v>129</v>
      </c>
      <c r="D5" s="8"/>
      <c r="E5" s="8"/>
      <c r="F5" s="8"/>
    </row>
    <row r="6" spans="1:6" ht="34" customHeight="1">
      <c r="A6" s="4" t="s">
        <v>130</v>
      </c>
      <c r="B6" s="23">
        <f>SUM('Recebimentos'!$K$6:$K$12)</f>
        <v>7</v>
      </c>
      <c r="C6" s="9" t="s">
        <v>131</v>
      </c>
      <c r="D6" s="9"/>
      <c r="E6" s="9"/>
      <c r="F6" s="9"/>
    </row>
    <row r="7" spans="1:6" ht="34" customHeight="1">
      <c r="A7" s="4" t="s">
        <v>126</v>
      </c>
      <c r="B7" s="23">
        <f>SUM('Recebimentos'!$L$6:$L$12)</f>
        <v>5</v>
      </c>
      <c r="C7" s="11" t="s">
        <v>132</v>
      </c>
      <c r="D7" s="11"/>
      <c r="E7" s="11"/>
      <c r="F7" s="11"/>
    </row>
    <row r="8" spans="1:6" ht="34" customHeight="1">
      <c r="A8" s="4" t="s">
        <v>133</v>
      </c>
      <c r="B8" s="23">
        <f>SUM('Recebimentos'!$M$6:$M$12)</f>
        <v>2</v>
      </c>
      <c r="C8" s="9" t="s">
        <v>134</v>
      </c>
      <c r="D8" s="9"/>
      <c r="E8" s="9"/>
      <c r="F8" s="9"/>
    </row>
    <row r="9" spans="1:6" ht="34" customHeight="1">
      <c r="A9" s="4" t="s">
        <v>135</v>
      </c>
      <c r="B9" s="24">
        <f>IF(B7=0,0,B8/B7)</f>
        <v>0.4</v>
      </c>
      <c r="C9" s="11" t="s">
        <v>136</v>
      </c>
      <c r="D9" s="11"/>
      <c r="E9" s="11"/>
      <c r="F9" s="11"/>
    </row>
    <row r="10" spans="1:6" ht="34" customHeight="1">
      <c r="A10" s="4" t="s">
        <v>137</v>
      </c>
      <c r="B10" s="25">
        <f>IFERROR(MEDIAN('Recebimentos'!$P$6:$P$12),"")</f>
        <v>3</v>
      </c>
      <c r="C10" s="9" t="s">
        <v>138</v>
      </c>
      <c r="D10" s="9"/>
      <c r="E10" s="9"/>
      <c r="F10" s="9"/>
    </row>
    <row r="12" spans="1:6" ht="18" customHeight="1">
      <c r="A12" s="3" t="s">
        <v>139</v>
      </c>
      <c r="B12" s="3"/>
      <c r="C12" s="3"/>
      <c r="D12" s="3"/>
      <c r="E12" s="3"/>
      <c r="F12" s="3"/>
    </row>
    <row r="13" spans="1:6" ht="18" customHeight="1">
      <c r="A13" s="8" t="s">
        <v>127</v>
      </c>
      <c r="B13" s="8" t="s">
        <v>128</v>
      </c>
      <c r="C13" s="8" t="s">
        <v>129</v>
      </c>
      <c r="D13" s="8"/>
      <c r="E13" s="8"/>
      <c r="F13" s="8"/>
    </row>
    <row r="14" spans="1:6" ht="34" customHeight="1">
      <c r="A14" s="4" t="s">
        <v>140</v>
      </c>
      <c r="B14" s="23">
        <f>SUM('Recebimentos'!$N$6:$N$12)</f>
        <v>2</v>
      </c>
      <c r="C14" s="9" t="s">
        <v>141</v>
      </c>
      <c r="D14" s="9"/>
      <c r="E14" s="9"/>
      <c r="F14" s="9"/>
    </row>
    <row r="15" spans="1:6" ht="34" customHeight="1">
      <c r="A15" s="4" t="s">
        <v>142</v>
      </c>
      <c r="B15" s="23">
        <f>SUM('Recebimentos'!$O$6:$O$12)</f>
        <v>1</v>
      </c>
      <c r="C15" s="11" t="s">
        <v>143</v>
      </c>
      <c r="D15" s="11"/>
      <c r="E15" s="11"/>
      <c r="F15" s="11"/>
    </row>
    <row r="17" spans="1:6" ht="18" customHeight="1">
      <c r="A17" s="3" t="s">
        <v>144</v>
      </c>
      <c r="B17" s="3"/>
      <c r="C17" s="3"/>
      <c r="D17" s="3"/>
      <c r="E17" s="3"/>
      <c r="F17" s="3"/>
    </row>
    <row r="18" spans="1:6" ht="34" customHeight="1">
      <c r="A18" s="26" t="s">
        <v>145</v>
      </c>
      <c r="B18" s="26"/>
      <c r="C18" s="26"/>
      <c r="D18" s="26"/>
      <c r="E18" s="26"/>
      <c r="F18" s="26"/>
    </row>
    <row r="19" spans="1:6" ht="34" customHeight="1">
      <c r="A19" s="26"/>
      <c r="B19" s="26"/>
      <c r="C19" s="26"/>
      <c r="D19" s="26"/>
      <c r="E19" s="26"/>
      <c r="F19" s="26"/>
    </row>
  </sheetData>
  <mergeCells count="15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A12:F12"/>
    <mergeCell ref="C13:F13"/>
    <mergeCell ref="C14:F14"/>
    <mergeCell ref="C15:F15"/>
    <mergeCell ref="A17:F17"/>
    <mergeCell ref="A18:F19"/>
  </mergeCells>
  <printOptions horizontalCentered="1"/>
  <pageMargins left="0.3" right="0.3" top="0.45" bottom="0.55" header="0.3" footer="0.25"/>
  <pageSetup paperSize="9" fitToHeight="0" orientation="portrait"/>
  <headerFooter>
    <oddFooter>&amp;L&amp;A&amp;R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B8190"/>
    <pageSetUpPr autoPageBreaks="0" fitToPage="1"/>
  </sheetPr>
  <dimension ref="A1:F31"/>
  <sheetViews>
    <sheetView showGridLines="0" zoomScale="95" zoomScaleNormal="95" workbookViewId="0"/>
  </sheetViews>
  <sheetFormatPr defaultRowHeight="18" customHeight="1"/>
  <cols>
    <col min="1" max="1" width="18.7109375" customWidth="1"/>
    <col min="2" max="2" width="31.7109375" customWidth="1"/>
    <col min="3" max="3" width="15.7109375" customWidth="1"/>
    <col min="4" max="6" width="17.7109375" customWidth="1"/>
  </cols>
  <sheetData>
    <row r="1" spans="1:6" ht="29" customHeight="1">
      <c r="A1" s="1" t="s">
        <v>146</v>
      </c>
      <c r="B1" s="1"/>
      <c r="C1" s="1"/>
      <c r="D1" s="1"/>
      <c r="E1" s="1"/>
      <c r="F1" s="1"/>
    </row>
    <row r="2" spans="1:6" ht="34" customHeight="1">
      <c r="A2" s="2" t="s">
        <v>147</v>
      </c>
      <c r="B2" s="2"/>
      <c r="C2" s="2"/>
      <c r="D2" s="2"/>
      <c r="E2" s="2"/>
      <c r="F2" s="2"/>
    </row>
    <row r="4" spans="1:6" ht="35" customHeight="1">
      <c r="A4" s="8" t="s">
        <v>45</v>
      </c>
      <c r="B4" s="8" t="s">
        <v>36</v>
      </c>
      <c r="C4" s="8" t="s">
        <v>148</v>
      </c>
      <c r="D4" s="8" t="s">
        <v>149</v>
      </c>
      <c r="E4" s="8" t="s">
        <v>150</v>
      </c>
      <c r="F4" s="8" t="s">
        <v>151</v>
      </c>
    </row>
    <row r="5" spans="1:6" ht="28" customHeight="1">
      <c r="A5" s="9" t="s">
        <v>56</v>
      </c>
      <c r="B5" s="9" t="s">
        <v>50</v>
      </c>
      <c r="C5" s="7">
        <f>SUMIF('Recebimentos'!$J$6:$J$12,A5,'Recebimentos'!$M$6:$M$12)</f>
        <v>1</v>
      </c>
      <c r="D5" s="27">
        <f>IFERROR(C5/SUM($C$5:$C$6),0)</f>
        <v>0.5</v>
      </c>
      <c r="E5" s="27">
        <f>SUM($D$5:D5)</f>
        <v>0.5</v>
      </c>
      <c r="F5" s="27">
        <f>80%</f>
        <v>0.8</v>
      </c>
    </row>
    <row r="6" spans="1:6" ht="28" customHeight="1">
      <c r="A6" s="11" t="s">
        <v>67</v>
      </c>
      <c r="B6" s="11" t="s">
        <v>65</v>
      </c>
      <c r="C6" s="19">
        <f>SUMIF('Recebimentos'!$J$6:$J$12,A6,'Recebimentos'!$M$6:$M$12)</f>
        <v>1</v>
      </c>
      <c r="D6" s="28">
        <f>IFERROR(C6/SUM($C$5:$C$6),0)</f>
        <v>0.5</v>
      </c>
      <c r="E6" s="28">
        <f>SUM($D$5:D6)</f>
        <v>1.0</v>
      </c>
      <c r="F6" s="28">
        <f>80%</f>
        <v>0.8</v>
      </c>
    </row>
    <row r="25" spans="1:6" ht="23" customHeight="1">
      <c r="A25" s="3" t="s">
        <v>152</v>
      </c>
      <c r="B25" s="3"/>
      <c r="C25" s="3"/>
      <c r="D25" s="3"/>
      <c r="E25" s="3"/>
      <c r="F25" s="3"/>
    </row>
    <row r="26" spans="1:6" ht="29" customHeight="1">
      <c r="A26" s="5" t="s">
        <v>153</v>
      </c>
      <c r="B26" s="5"/>
      <c r="C26" s="5"/>
      <c r="D26" s="5"/>
      <c r="E26" s="5"/>
      <c r="F26" s="5"/>
    </row>
    <row r="27" spans="1:6" ht="29" customHeight="1">
      <c r="A27" s="5"/>
      <c r="B27" s="5"/>
      <c r="C27" s="5"/>
      <c r="D27" s="5"/>
      <c r="E27" s="5"/>
      <c r="F27" s="5"/>
    </row>
    <row r="29" spans="1:6" ht="23" customHeight="1">
      <c r="A29" s="3" t="s">
        <v>154</v>
      </c>
      <c r="B29" s="3"/>
      <c r="C29" s="3"/>
      <c r="D29" s="3"/>
      <c r="E29" s="3"/>
      <c r="F29" s="3"/>
    </row>
    <row r="30" spans="1:6" ht="29" customHeight="1">
      <c r="A30" s="26" t="s">
        <v>155</v>
      </c>
      <c r="B30" s="26"/>
      <c r="C30" s="26"/>
      <c r="D30" s="26"/>
      <c r="E30" s="26"/>
      <c r="F30" s="26"/>
    </row>
    <row r="31" spans="1:6" ht="29" customHeight="1">
      <c r="A31" s="26"/>
      <c r="B31" s="26"/>
      <c r="C31" s="26"/>
      <c r="D31" s="26"/>
      <c r="E31" s="26"/>
      <c r="F31" s="26"/>
    </row>
  </sheetData>
  <autoFilter ref="A4:F6"/>
  <mergeCells count="6">
    <mergeCell ref="A1:F1"/>
    <mergeCell ref="A2:F2"/>
    <mergeCell ref="A25:F25"/>
    <mergeCell ref="A26:F27"/>
    <mergeCell ref="A29:F29"/>
    <mergeCell ref="A30:F31"/>
  </mergeCells>
  <printOptions horizontalCentered="1"/>
  <pageMargins left="0.3" right="0.3" top="0.45" bottom="0.55" header="0.3" footer="0.25"/>
  <pageSetup paperSize="9" orientation="landscape"/>
  <headerFooter>
    <oddFooter>&amp;L&amp;A&amp;R 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B8790"/>
    <pageSetUpPr autoPageBreaks="0" fitToPage="1"/>
  </sheetPr>
  <dimension ref="A1:I21"/>
  <sheetViews>
    <sheetView showGridLines="0" zoomScale="90" zoomScaleNormal="90" workbookViewId="0"/>
  </sheetViews>
  <sheetFormatPr defaultRowHeight="18" customHeight="1" outlineLevelCol="1"/>
  <cols>
    <col min="1" max="1" width="36.7109375" customWidth="1"/>
    <col min="2" max="2" width="18.7109375" customWidth="1"/>
    <col min="3" max="3" width="12.7109375" customWidth="1"/>
    <col min="4" max="5" width="19.7109375" customWidth="1"/>
    <col min="6" max="6" width="26.7109375" customWidth="1"/>
    <col min="7" max="7" width="44.7109375" customWidth="1"/>
    <col min="8" max="9" width="22.7109375" hidden="1" customWidth="1" outlineLevel="1"/>
    <col min="10" max="10" width="2.7109375" customWidth="1" collapsed="1"/>
  </cols>
  <sheetData>
    <row r="1" spans="1:9" ht="29" customHeight="1">
      <c r="A1" s="1" t="s">
        <v>156</v>
      </c>
      <c r="B1" s="1"/>
      <c r="C1" s="1"/>
      <c r="D1" s="1"/>
      <c r="E1" s="1"/>
      <c r="F1" s="1"/>
      <c r="G1" s="1"/>
      <c r="H1" s="1"/>
      <c r="I1" s="1"/>
    </row>
    <row r="2" spans="1:9" ht="34" customHeight="1">
      <c r="A2" s="2" t="s">
        <v>157</v>
      </c>
      <c r="B2" s="2"/>
      <c r="C2" s="2"/>
      <c r="D2" s="2"/>
      <c r="E2" s="2"/>
      <c r="F2" s="2"/>
      <c r="G2" s="2"/>
      <c r="H2" s="2"/>
      <c r="I2" s="2"/>
    </row>
    <row r="4" spans="1:9" ht="40" customHeight="1">
      <c r="A4" s="8" t="s">
        <v>158</v>
      </c>
      <c r="B4" s="8" t="s">
        <v>103</v>
      </c>
      <c r="C4" s="8" t="s">
        <v>159</v>
      </c>
      <c r="D4" s="8" t="s">
        <v>160</v>
      </c>
      <c r="E4" s="8" t="s">
        <v>161</v>
      </c>
      <c r="F4" s="8" t="s">
        <v>162</v>
      </c>
      <c r="G4" s="8" t="s">
        <v>163</v>
      </c>
      <c r="H4" s="8" t="s">
        <v>164</v>
      </c>
      <c r="I4" s="8" t="s">
        <v>165</v>
      </c>
    </row>
    <row r="5" spans="1:9" ht="44" customHeight="1">
      <c r="A5" s="9" t="s">
        <v>166</v>
      </c>
      <c r="B5" s="9" t="s">
        <v>118</v>
      </c>
      <c r="C5" s="7">
        <v>45</v>
      </c>
      <c r="D5" s="10">
        <v>80</v>
      </c>
      <c r="E5" s="10">
        <f>ROUND(C5/60*D5,2)</f>
        <v>60.0</v>
      </c>
      <c r="F5" s="9" t="s">
        <v>167</v>
      </c>
      <c r="G5" s="9" t="s">
        <v>168</v>
      </c>
      <c r="H5" s="9" t="s">
        <v>169</v>
      </c>
      <c r="I5" s="9" t="s">
        <v>170</v>
      </c>
    </row>
    <row r="6" spans="1:9" ht="44" customHeight="1">
      <c r="A6" s="11" t="s">
        <v>171</v>
      </c>
      <c r="B6" s="11" t="s">
        <v>121</v>
      </c>
      <c r="C6" s="19">
        <v>30</v>
      </c>
      <c r="D6" s="13">
        <v>120</v>
      </c>
      <c r="E6" s="13">
        <f>ROUND(C6/60*D6,2)</f>
        <v>60.0</v>
      </c>
      <c r="F6" s="11" t="s">
        <v>167</v>
      </c>
      <c r="G6" s="11" t="s">
        <v>172</v>
      </c>
      <c r="H6" s="11" t="s">
        <v>173</v>
      </c>
      <c r="I6" s="11" t="s">
        <v>170</v>
      </c>
    </row>
    <row r="7" spans="1:9" ht="44" customHeight="1">
      <c r="A7" s="9" t="s">
        <v>174</v>
      </c>
      <c r="B7" s="9" t="s">
        <v>122</v>
      </c>
      <c r="C7" s="7">
        <v>20</v>
      </c>
      <c r="D7" s="10">
        <v>90</v>
      </c>
      <c r="E7" s="10">
        <f>ROUND(C7/60*D7,2)</f>
        <v>30.0</v>
      </c>
      <c r="F7" s="9" t="s">
        <v>175</v>
      </c>
      <c r="G7" s="9" t="s">
        <v>176</v>
      </c>
      <c r="H7" s="9" t="s">
        <v>177</v>
      </c>
      <c r="I7" s="9" t="s">
        <v>178</v>
      </c>
    </row>
    <row r="9" spans="1:9" ht="18" customHeight="1">
      <c r="A9" s="3" t="s">
        <v>179</v>
      </c>
      <c r="B9" s="3"/>
      <c r="C9" s="3"/>
      <c r="D9" s="3"/>
      <c r="E9" s="3"/>
      <c r="F9" s="3"/>
      <c r="G9" s="3"/>
    </row>
    <row r="10" spans="1:9" ht="27" customHeight="1">
      <c r="A10" s="4" t="s">
        <v>180</v>
      </c>
      <c r="B10" s="4"/>
      <c r="C10" s="4"/>
      <c r="D10" s="4"/>
      <c r="E10" s="29">
        <f>ROUND(SUM(E5:E7),2)</f>
        <v>150.0</v>
      </c>
    </row>
    <row r="11" spans="1:9" ht="27" customHeight="1">
      <c r="A11" s="4" t="s">
        <v>167</v>
      </c>
      <c r="B11" s="4"/>
      <c r="C11" s="4"/>
      <c r="D11" s="4"/>
      <c r="E11" s="29">
        <f>ROUND(SUMIF(I5:I7,"assumida_no_cenario",E5:E7),2)</f>
        <v>120.0</v>
      </c>
    </row>
    <row r="12" spans="1:9" ht="27" customHeight="1">
      <c r="A12" s="4" t="s">
        <v>175</v>
      </c>
      <c r="B12" s="4"/>
      <c r="C12" s="4"/>
      <c r="D12" s="4"/>
      <c r="E12" s="29">
        <f>ROUND(SUMIF(I5:I7,"nao_atribuida",E5:E7),2)</f>
        <v>30.0</v>
      </c>
    </row>
    <row r="13" spans="1:9" ht="27" customHeight="1">
      <c r="A13" s="4" t="s">
        <v>181</v>
      </c>
      <c r="B13" s="4"/>
      <c r="C13" s="4"/>
      <c r="D13" s="4"/>
      <c r="E13" s="29">
        <f>ROUND(SUMIF(I5:I7,"indeterminada",E5:E7),2)</f>
        <v>0</v>
      </c>
    </row>
    <row r="15" spans="1:9" ht="18" customHeight="1">
      <c r="A15" s="3" t="s">
        <v>182</v>
      </c>
      <c r="B15" s="3"/>
      <c r="C15" s="3"/>
      <c r="D15" s="3"/>
      <c r="E15" s="3"/>
      <c r="F15" s="3"/>
      <c r="G15" s="3"/>
    </row>
    <row r="16" spans="1:9" ht="25" customHeight="1">
      <c r="A16" s="5" t="s">
        <v>183</v>
      </c>
      <c r="B16" s="5"/>
      <c r="C16" s="5"/>
      <c r="D16" s="5"/>
      <c r="E16" s="5"/>
      <c r="F16" s="5"/>
      <c r="G16" s="5"/>
    </row>
    <row r="17" spans="1:7" ht="25" customHeight="1">
      <c r="A17" s="5"/>
      <c r="B17" s="5"/>
      <c r="C17" s="5"/>
      <c r="D17" s="5"/>
      <c r="E17" s="5"/>
      <c r="F17" s="5"/>
      <c r="G17" s="5"/>
    </row>
    <row r="19" spans="1:7" ht="18" customHeight="1">
      <c r="A19" s="3" t="s">
        <v>184</v>
      </c>
      <c r="B19" s="3"/>
      <c r="C19" s="3"/>
      <c r="D19" s="3"/>
      <c r="E19" s="3"/>
      <c r="F19" s="3"/>
      <c r="G19" s="3"/>
    </row>
    <row r="20" spans="1:7" ht="25" customHeight="1">
      <c r="A20" s="26" t="s">
        <v>185</v>
      </c>
      <c r="B20" s="26"/>
      <c r="C20" s="26"/>
      <c r="D20" s="26"/>
      <c r="E20" s="26"/>
      <c r="F20" s="26"/>
      <c r="G20" s="26"/>
    </row>
    <row r="21" spans="1:7" ht="25" customHeight="1">
      <c r="A21" s="26"/>
      <c r="B21" s="26"/>
      <c r="C21" s="26"/>
      <c r="D21" s="26"/>
      <c r="E21" s="26"/>
      <c r="F21" s="26"/>
      <c r="G21" s="26"/>
    </row>
  </sheetData>
  <autoFilter ref="A4:I7"/>
  <mergeCells count="11">
    <mergeCell ref="A1:I1"/>
    <mergeCell ref="A2:I2"/>
    <mergeCell ref="A9:G9"/>
    <mergeCell ref="A10:D10"/>
    <mergeCell ref="A11:D11"/>
    <mergeCell ref="A12:D12"/>
    <mergeCell ref="A13:D13"/>
    <mergeCell ref="A15:G15"/>
    <mergeCell ref="A16:G17"/>
    <mergeCell ref="A19:G19"/>
    <mergeCell ref="A20:G21"/>
  </mergeCells>
  <printOptions horizontalCentered="1"/>
  <pageMargins left="0.3" right="0.3" top="0.45" bottom="0.55" header="0.3" footer="0.25"/>
  <pageSetup paperSize="9" fitToHeight="0" orientation="landscape"/>
  <headerFooter>
    <oddFooter>&amp;L&amp;A&amp;R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Leia-me</vt:lpstr>
      <vt:lpstr>Pedidos</vt:lpstr>
      <vt:lpstr>Recebimentos</vt:lpstr>
      <vt:lpstr>Indicadores</vt:lpstr>
      <vt:lpstr>Pareto</vt:lpstr>
      <vt:lpstr>Custos</vt:lpstr>
      <vt:lpstr>Custos!Print_Area</vt:lpstr>
      <vt:lpstr>Indicadores!Print_Area</vt:lpstr>
      <vt:lpstr>'Leia-me'!Print_Area</vt:lpstr>
      <vt:lpstr>Pareto!Print_Area</vt:lpstr>
      <vt:lpstr>Pedidos!Print_Area</vt:lpstr>
      <vt:lpstr>Recebimentos!Print_Area</vt:lpstr>
      <vt:lpstr>Custos!Print_Titles</vt:lpstr>
      <vt:lpstr>Indicadores!Print_Titles</vt:lpstr>
      <vt:lpstr>Pedidos!Print_Titles</vt:lpstr>
      <vt:lpstr>Recebimentos!Print_Titles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MASP - análise acadêmica com dados sintéticos</dc:title>
  <dc:subject>Indicadores de prazo, distribuição de ocorrências e estimativa de custos</dc:subject>
  <dc:creator/>
  <dc:description>Dados sintéticos utilizados exclusivamente para análise acadêmica.</dc:description>
  <cp:lastModifiedBy/>
  <dcterms:created xsi:type="dcterms:W3CDTF">2026-10-14T13:14:51Z</dcterms:created>
  <dcterms:modified xsi:type="dcterms:W3CDTF">2026-10-14T13:14:51Z</dcterms:modified>
</cp:coreProperties>
</file>