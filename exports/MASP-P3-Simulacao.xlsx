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ia-me" sheetId="1" r:id="rId1"/>
    <sheet name="Pedidos" sheetId="2" r:id="rId2"/>
    <sheet name="Recebimentos" sheetId="3" r:id="rId3"/>
    <sheet name="Indicadores" sheetId="4" r:id="rId4"/>
    <sheet name="Pareto" sheetId="5" r:id="rId5"/>
    <sheet name="Custos" sheetId="6" r:id="rId6"/>
  </sheets>
  <definedNames>
    <definedName name="_xlnm._FilterDatabase" localSheetId="5" hidden="1">Custos!$A$4:$I$28</definedName>
    <definedName name="_xlnm._FilterDatabase" localSheetId="4" hidden="1">Pareto!$A$4:$F$12</definedName>
    <definedName name="_xlnm._FilterDatabase" localSheetId="1" hidden="1">Pedidos!$A$5:$N$165</definedName>
    <definedName name="_xlnm._FilterDatabase" localSheetId="2" hidden="1">Recebimentos!$A$5:$R$189</definedName>
    <definedName name="_xlnm.Print_Area" localSheetId="5">Custos!$A$1:$G$42</definedName>
    <definedName name="_xlnm.Print_Area" localSheetId="3">Indicadores!$A$1:$F$19</definedName>
    <definedName name="_xlnm.Print_Area" localSheetId="0">'Leia-me'!$A$1:$H$24</definedName>
    <definedName name="_xlnm.Print_Area" localSheetId="4">Pareto!$A$1:$F$37</definedName>
    <definedName name="_xlnm.Print_Area" localSheetId="1">Pedidos!$A$1:$G$165</definedName>
    <definedName name="_xlnm.Print_Area" localSheetId="2">Recebimentos!$A$1:$H$189</definedName>
    <definedName name="_xlnm.Print_Titles" localSheetId="5">Custos!$4:$4</definedName>
    <definedName name="_xlnm.Print_Titles" localSheetId="3">Indicadores!$5:$5</definedName>
    <definedName name="_xlnm.Print_Titles" localSheetId="1">Pedidos!$5:$5</definedName>
    <definedName name="_xlnm.Print_Titles" localSheetId="2">Recebimentos!$5:$5</definedName>
  </definedNames>
  <calcPr calcId="124519" fullCalcOnLoad="1"/>
</workbook>
</file>

<file path=xl/sharedStrings.xml><?xml version="1.0" encoding="utf-8"?>
<sst xmlns="http://schemas.openxmlformats.org/spreadsheetml/2006/main" count="3070" uniqueCount="704">
  <si>
    <t>MASP — análise acadêmica</t>
  </si>
  <si>
    <t>Planilha elaborada com dados, custos e resultados sintéticos.</t>
  </si>
  <si>
    <t>1. Finalidade e natureza sintética</t>
  </si>
  <si>
    <t>Finalidade</t>
  </si>
  <si>
    <t>Apresentar indicadores de prazo, distribuição de ocorrências e estimativas de custo no contexto do MASP.</t>
  </si>
  <si>
    <t>Natureza</t>
  </si>
  <si>
    <t>Análise acadêmica baseada exclusivamente em dados fictícios, sem vínculo com uma empresa ou operação real.</t>
  </si>
  <si>
    <t>Unidade de análise</t>
  </si>
  <si>
    <t>Cada evento de recebimento constitui uma unidade de análise e é contado uma única vez.</t>
  </si>
  <si>
    <t>2. Recorte, corte temporal e prazo</t>
  </si>
  <si>
    <t>Data de corte (UTC)</t>
  </si>
  <si>
    <t>Prazo de vinculação</t>
  </si>
  <si>
    <t>Convenção de datas</t>
  </si>
  <si>
    <t>Datas e horários são apresentados em UTC, sem conversão para o horário local.</t>
  </si>
  <si>
    <t>Período dos recebimentos</t>
  </si>
  <si>
    <t>2025-03-02 09:00:00 UTC a 2025-03-31 09:00:00 UTC</t>
  </si>
  <si>
    <t>Recorte</t>
  </si>
  <si>
    <t>O conjunto analisado reúne 184 recebimentos sintéticos e não representa uma população estatística.</t>
  </si>
  <si>
    <t>3. Método e interpretação</t>
  </si>
  <si>
    <t>Regra de prazo</t>
  </si>
  <si>
    <t>Vínculo concluído em até 3 dias corridos é Dentro do prazo; acima de 3 dias é Fora do prazo. Sem data de vínculo, o recebimento permanece aberto.</t>
  </si>
  <si>
    <t>Pendências abertas</t>
  </si>
  <si>
    <t>Para concluídos, o tempo vai do recebimento ao vínculo. Para abertos, a idade vai do recebimento ao corte fixo. Aberto vencido não integra o denominador de concluídos.</t>
  </si>
  <si>
    <t>Cálculo</t>
  </si>
  <si>
    <t>Os intervalos são calculados em dias corridos. A mediana considera somente os vínculos concluídos e válidos.</t>
  </si>
  <si>
    <t>Interpretação</t>
  </si>
  <si>
    <t>O percentual de 25% corresponde a 40 vínculos fora do prazo entre 160 concluídos. As 24 pendências abertas são apresentadas separadamente.</t>
  </si>
  <si>
    <t>4. Custos e limitações</t>
  </si>
  <si>
    <t>Custos fictícios</t>
  </si>
  <si>
    <t>O total registrado é de R$ 1.550,00: R$ 1.005,00 associados aos atrasos por premissa, R$ 485,00 não atribuídos e R$ 60,00 indeterminados.</t>
  </si>
  <si>
    <t>Limitações</t>
  </si>
  <si>
    <t>Os valores não comprovam causalidade, prejuízo real, multas, perdas ou ausência de documentos.</t>
  </si>
  <si>
    <t>Pedidos — base sintética</t>
  </si>
  <si>
    <t>A tabela reúne 160 pedidos. Situação operacional e aprovação são dimensões distintas. Campos vazios indicam apenas ausência de valor na base sintética.</t>
  </si>
  <si>
    <t>Código do pedido</t>
  </si>
  <si>
    <t>Fornecedor</t>
  </si>
  <si>
    <t>Obra</t>
  </si>
  <si>
    <t>Emissão (UTC)</t>
  </si>
  <si>
    <t>Valor do pedido (R$)</t>
  </si>
  <si>
    <t>Situação operacional</t>
  </si>
  <si>
    <t>Aprovação</t>
  </si>
  <si>
    <t>ID técnico do pedido</t>
  </si>
  <si>
    <t>Código da situação</t>
  </si>
  <si>
    <t>Código da aprovação</t>
  </si>
  <si>
    <t>Autorizado no cenário</t>
  </si>
  <si>
    <t>ID técnico da obra</t>
  </si>
  <si>
    <t>Itens (JSON)</t>
  </si>
  <si>
    <t>NFe (JSON sintético)</t>
  </si>
  <si>
    <t>SYN-PO-0001</t>
  </si>
  <si>
    <t>Fornecedor Sintético 001</t>
  </si>
  <si>
    <t>Obra Acadêmica Norte</t>
  </si>
  <si>
    <t>Pendente</t>
  </si>
  <si>
    <t>Aprovado</t>
  </si>
  <si>
    <t>SYN-ORD-0001</t>
  </si>
  <si>
    <t>PENDING</t>
  </si>
  <si>
    <t>APPROVED</t>
  </si>
  <si>
    <t>SYN-W-001</t>
  </si>
  <si>
    <t>[]</t>
  </si>
  <si>
    <t>SYN-PO-0002</t>
  </si>
  <si>
    <t>Fornecedor Sintético 002</t>
  </si>
  <si>
    <t>Obra Acadêmica Centro</t>
  </si>
  <si>
    <t>SYN-ORD-0002</t>
  </si>
  <si>
    <t>SYN-W-002</t>
  </si>
  <si>
    <t>SYN-PO-0003</t>
  </si>
  <si>
    <t>Fornecedor Sintético 003</t>
  </si>
  <si>
    <t>Obra Acadêmica Sul</t>
  </si>
  <si>
    <t>SYN-ORD-0003</t>
  </si>
  <si>
    <t>SYN-W-003</t>
  </si>
  <si>
    <t>SYN-PO-0004</t>
  </si>
  <si>
    <t>Fornecedor Sintético 004</t>
  </si>
  <si>
    <t>Obra Acadêmica Leste</t>
  </si>
  <si>
    <t>SYN-ORD-0004</t>
  </si>
  <si>
    <t>SYN-W-004</t>
  </si>
  <si>
    <t>SYN-PO-0005</t>
  </si>
  <si>
    <t>Fornecedor Sintético 005</t>
  </si>
  <si>
    <t>Obra Acadêmica Oeste</t>
  </si>
  <si>
    <t>SYN-ORD-0005</t>
  </si>
  <si>
    <t>SYN-W-005</t>
  </si>
  <si>
    <t>SYN-PO-0006</t>
  </si>
  <si>
    <t>Fornecedor Sintético 006</t>
  </si>
  <si>
    <t>Obra Acadêmica Serra</t>
  </si>
  <si>
    <t>SYN-ORD-0006</t>
  </si>
  <si>
    <t>SYN-W-006</t>
  </si>
  <si>
    <t>SYN-PO-0007</t>
  </si>
  <si>
    <t>Fornecedor Sintético 007</t>
  </si>
  <si>
    <t>Obra Acadêmica Vale</t>
  </si>
  <si>
    <t>SYN-ORD-0007</t>
  </si>
  <si>
    <t>SYN-W-007</t>
  </si>
  <si>
    <t>SYN-PO-0008</t>
  </si>
  <si>
    <t>Fornecedor Sintético 008</t>
  </si>
  <si>
    <t>Obra Acadêmica Lago</t>
  </si>
  <si>
    <t>SYN-ORD-0008</t>
  </si>
  <si>
    <t>SYN-W-008</t>
  </si>
  <si>
    <t>SYN-PO-0009</t>
  </si>
  <si>
    <t>Fornecedor Sintético 009</t>
  </si>
  <si>
    <t>SYN-ORD-0009</t>
  </si>
  <si>
    <t>SYN-PO-0010</t>
  </si>
  <si>
    <t>Fornecedor Sintético 010</t>
  </si>
  <si>
    <t>SYN-ORD-0010</t>
  </si>
  <si>
    <t>SYN-PO-0011</t>
  </si>
  <si>
    <t>Fornecedor Sintético 011</t>
  </si>
  <si>
    <t>SYN-ORD-0011</t>
  </si>
  <si>
    <t>SYN-PO-0012</t>
  </si>
  <si>
    <t>Fornecedor Sintético 012</t>
  </si>
  <si>
    <t>SYN-ORD-0012</t>
  </si>
  <si>
    <t>SYN-PO-0013</t>
  </si>
  <si>
    <t>Fornecedor Sintético 013</t>
  </si>
  <si>
    <t>SYN-ORD-0013</t>
  </si>
  <si>
    <t>SYN-PO-0014</t>
  </si>
  <si>
    <t>Fornecedor Sintético 014</t>
  </si>
  <si>
    <t>SYN-ORD-0014</t>
  </si>
  <si>
    <t>SYN-PO-0015</t>
  </si>
  <si>
    <t>Fornecedor Sintético 015</t>
  </si>
  <si>
    <t>SYN-ORD-0015</t>
  </si>
  <si>
    <t>SYN-PO-0016</t>
  </si>
  <si>
    <t>Fornecedor Sintético 016</t>
  </si>
  <si>
    <t>SYN-ORD-0016</t>
  </si>
  <si>
    <t>SYN-PO-0017</t>
  </si>
  <si>
    <t>Fornecedor Sintético 017</t>
  </si>
  <si>
    <t>SYN-ORD-0017</t>
  </si>
  <si>
    <t>SYN-PO-0018</t>
  </si>
  <si>
    <t>Fornecedor Sintético 018</t>
  </si>
  <si>
    <t>SYN-ORD-0018</t>
  </si>
  <si>
    <t>SYN-PO-0019</t>
  </si>
  <si>
    <t>Fornecedor Sintético 019</t>
  </si>
  <si>
    <t>SYN-ORD-0019</t>
  </si>
  <si>
    <t>SYN-PO-0020</t>
  </si>
  <si>
    <t>Fornecedor Sintético 020</t>
  </si>
  <si>
    <t>SYN-ORD-0020</t>
  </si>
  <si>
    <t>SYN-PO-0021</t>
  </si>
  <si>
    <t>Fornecedor Sintético 021</t>
  </si>
  <si>
    <t>SYN-ORD-0021</t>
  </si>
  <si>
    <t>SYN-PO-0022</t>
  </si>
  <si>
    <t>Fornecedor Sintético 022</t>
  </si>
  <si>
    <t>SYN-ORD-0022</t>
  </si>
  <si>
    <t>SYN-PO-0023</t>
  </si>
  <si>
    <t>Fornecedor Sintético 023</t>
  </si>
  <si>
    <t>SYN-ORD-0023</t>
  </si>
  <si>
    <t>SYN-PO-0024</t>
  </si>
  <si>
    <t>Fornecedor Sintético 024</t>
  </si>
  <si>
    <t>SYN-ORD-0024</t>
  </si>
  <si>
    <t>SYN-PO-0025</t>
  </si>
  <si>
    <t>SYN-ORD-0025</t>
  </si>
  <si>
    <t>SYN-PO-0026</t>
  </si>
  <si>
    <t>SYN-ORD-0026</t>
  </si>
  <si>
    <t>SYN-PO-0027</t>
  </si>
  <si>
    <t>SYN-ORD-0027</t>
  </si>
  <si>
    <t>SYN-PO-0028</t>
  </si>
  <si>
    <t>SYN-ORD-0028</t>
  </si>
  <si>
    <t>SYN-PO-0029</t>
  </si>
  <si>
    <t>SYN-ORD-0029</t>
  </si>
  <si>
    <t>SYN-PO-0030</t>
  </si>
  <si>
    <t>SYN-ORD-0030</t>
  </si>
  <si>
    <t>SYN-PO-0031</t>
  </si>
  <si>
    <t>SYN-ORD-0031</t>
  </si>
  <si>
    <t>SYN-PO-0032</t>
  </si>
  <si>
    <t>SYN-ORD-0032</t>
  </si>
  <si>
    <t>SYN-PO-0033</t>
  </si>
  <si>
    <t>SYN-ORD-0033</t>
  </si>
  <si>
    <t>SYN-PO-0034</t>
  </si>
  <si>
    <t>SYN-ORD-0034</t>
  </si>
  <si>
    <t>SYN-PO-0035</t>
  </si>
  <si>
    <t>SYN-ORD-0035</t>
  </si>
  <si>
    <t>SYN-PO-0036</t>
  </si>
  <si>
    <t>SYN-ORD-0036</t>
  </si>
  <si>
    <t>SYN-PO-0037</t>
  </si>
  <si>
    <t>SYN-ORD-0037</t>
  </si>
  <si>
    <t>SYN-PO-0038</t>
  </si>
  <si>
    <t>SYN-ORD-0038</t>
  </si>
  <si>
    <t>SYN-PO-0039</t>
  </si>
  <si>
    <t>SYN-ORD-0039</t>
  </si>
  <si>
    <t>SYN-PO-0040</t>
  </si>
  <si>
    <t>SYN-ORD-0040</t>
  </si>
  <si>
    <t>SYN-PO-0041</t>
  </si>
  <si>
    <t>SYN-ORD-0041</t>
  </si>
  <si>
    <t>SYN-PO-0042</t>
  </si>
  <si>
    <t>SYN-ORD-0042</t>
  </si>
  <si>
    <t>SYN-PO-0043</t>
  </si>
  <si>
    <t>SYN-ORD-0043</t>
  </si>
  <si>
    <t>SYN-PO-0044</t>
  </si>
  <si>
    <t>SYN-ORD-0044</t>
  </si>
  <si>
    <t>SYN-PO-0045</t>
  </si>
  <si>
    <t>SYN-ORD-0045</t>
  </si>
  <si>
    <t>SYN-PD-0046</t>
  </si>
  <si>
    <t>Parcialmente entregue</t>
  </si>
  <si>
    <t>SYN-ORD-0046</t>
  </si>
  <si>
    <t>PARTIALLY_DELIVERED</t>
  </si>
  <si>
    <t>SYN-PD-0047</t>
  </si>
  <si>
    <t>SYN-ORD-0047</t>
  </si>
  <si>
    <t>SYN-PD-0048</t>
  </si>
  <si>
    <t>SYN-ORD-0048</t>
  </si>
  <si>
    <t>SYN-PD-0049</t>
  </si>
  <si>
    <t>SYN-ORD-0049</t>
  </si>
  <si>
    <t>SYN-PD-0050</t>
  </si>
  <si>
    <t>SYN-ORD-0050</t>
  </si>
  <si>
    <t>SYN-PD-0051</t>
  </si>
  <si>
    <t>SYN-ORD-0051</t>
  </si>
  <si>
    <t>SYN-PD-0052</t>
  </si>
  <si>
    <t>SYN-ORD-0052</t>
  </si>
  <si>
    <t>SYN-PD-0053</t>
  </si>
  <si>
    <t>SYN-ORD-0053</t>
  </si>
  <si>
    <t>SYN-PD-0054</t>
  </si>
  <si>
    <t>SYN-ORD-0054</t>
  </si>
  <si>
    <t>SYN-PD-0055</t>
  </si>
  <si>
    <t>SYN-ORD-0055</t>
  </si>
  <si>
    <t>SYN-PD-0056</t>
  </si>
  <si>
    <t>SYN-ORD-0056</t>
  </si>
  <si>
    <t>SYN-PD-0057</t>
  </si>
  <si>
    <t>SYN-ORD-0057</t>
  </si>
  <si>
    <t>SYN-PD-0058</t>
  </si>
  <si>
    <t>SYN-ORD-0058</t>
  </si>
  <si>
    <t>SYN-PD-0059</t>
  </si>
  <si>
    <t>SYN-ORD-0059</t>
  </si>
  <si>
    <t>SYN-PD-0060</t>
  </si>
  <si>
    <t>SYN-ORD-0060</t>
  </si>
  <si>
    <t>SYN-PD-0061</t>
  </si>
  <si>
    <t>SYN-ORD-0061</t>
  </si>
  <si>
    <t>SYN-PD-0062</t>
  </si>
  <si>
    <t>SYN-ORD-0062</t>
  </si>
  <si>
    <t>SYN-PD-0063</t>
  </si>
  <si>
    <t>SYN-ORD-0063</t>
  </si>
  <si>
    <t>SYN-PD-0064</t>
  </si>
  <si>
    <t>SYN-ORD-0064</t>
  </si>
  <si>
    <t>SYN-PD-0065</t>
  </si>
  <si>
    <t>SYN-ORD-0065</t>
  </si>
  <si>
    <t>SYN-PD-0066</t>
  </si>
  <si>
    <t>SYN-ORD-0066</t>
  </si>
  <si>
    <t>SYN-PD-0067</t>
  </si>
  <si>
    <t>SYN-ORD-0067</t>
  </si>
  <si>
    <t>SYN-PD-0068</t>
  </si>
  <si>
    <t>SYN-ORD-0068</t>
  </si>
  <si>
    <t>SYN-PD-0069</t>
  </si>
  <si>
    <t>SYN-ORD-0069</t>
  </si>
  <si>
    <t>SYN-PD-0070</t>
  </si>
  <si>
    <t>SYN-ORD-0070</t>
  </si>
  <si>
    <t>SYN-PD-0071</t>
  </si>
  <si>
    <t>SYN-ORD-0071</t>
  </si>
  <si>
    <t>SYN-PD-0072</t>
  </si>
  <si>
    <t>SYN-ORD-0072</t>
  </si>
  <si>
    <t>SYN-PD-0073</t>
  </si>
  <si>
    <t>SYN-ORD-0073</t>
  </si>
  <si>
    <t>SYN-PD-0074</t>
  </si>
  <si>
    <t>SYN-ORD-0074</t>
  </si>
  <si>
    <t>SYN-PD-0075</t>
  </si>
  <si>
    <t>SYN-ORD-0075</t>
  </si>
  <si>
    <t>SYN-PD-0076</t>
  </si>
  <si>
    <t>SYN-ORD-0076</t>
  </si>
  <si>
    <t>SYN-PD-0077</t>
  </si>
  <si>
    <t>SYN-ORD-0077</t>
  </si>
  <si>
    <t>SYN-PD-0078</t>
  </si>
  <si>
    <t>SYN-ORD-0078</t>
  </si>
  <si>
    <t>SYN-PD-0079</t>
  </si>
  <si>
    <t>SYN-ORD-0079</t>
  </si>
  <si>
    <t>SYN-PD-0080</t>
  </si>
  <si>
    <t>SYN-ORD-0080</t>
  </si>
  <si>
    <t>SYN-PD-0081</t>
  </si>
  <si>
    <t>SYN-ORD-0081</t>
  </si>
  <si>
    <t>SYN-PD-0082</t>
  </si>
  <si>
    <t>SYN-ORD-0082</t>
  </si>
  <si>
    <t>SYN-PD-0083</t>
  </si>
  <si>
    <t>SYN-ORD-0083</t>
  </si>
  <si>
    <t>SYN-PD-0084</t>
  </si>
  <si>
    <t>SYN-ORD-0084</t>
  </si>
  <si>
    <t>SYN-PD-0085</t>
  </si>
  <si>
    <t>SYN-ORD-0085</t>
  </si>
  <si>
    <t>SYN-FD-0086</t>
  </si>
  <si>
    <t>Totalmente entregue</t>
  </si>
  <si>
    <t>SYN-ORD-0086</t>
  </si>
  <si>
    <t>FULLY_DELIVERED</t>
  </si>
  <si>
    <t>SYN-FD-0087</t>
  </si>
  <si>
    <t>SYN-ORD-0087</t>
  </si>
  <si>
    <t>SYN-FD-0088</t>
  </si>
  <si>
    <t>SYN-ORD-0088</t>
  </si>
  <si>
    <t>SYN-FD-0089</t>
  </si>
  <si>
    <t>SYN-ORD-0089</t>
  </si>
  <si>
    <t>SYN-FD-0090</t>
  </si>
  <si>
    <t>SYN-ORD-0090</t>
  </si>
  <si>
    <t>SYN-FD-0091</t>
  </si>
  <si>
    <t>SYN-ORD-0091</t>
  </si>
  <si>
    <t>SYN-FD-0092</t>
  </si>
  <si>
    <t>SYN-ORD-0092</t>
  </si>
  <si>
    <t>SYN-FD-0093</t>
  </si>
  <si>
    <t>SYN-ORD-0093</t>
  </si>
  <si>
    <t>SYN-FD-0094</t>
  </si>
  <si>
    <t>SYN-ORD-0094</t>
  </si>
  <si>
    <t>SYN-FD-0095</t>
  </si>
  <si>
    <t>SYN-ORD-0095</t>
  </si>
  <si>
    <t>SYN-FD-0096</t>
  </si>
  <si>
    <t>SYN-ORD-0096</t>
  </si>
  <si>
    <t>SYN-FD-0097</t>
  </si>
  <si>
    <t>SYN-ORD-0097</t>
  </si>
  <si>
    <t>SYN-FD-0098</t>
  </si>
  <si>
    <t>SYN-ORD-0098</t>
  </si>
  <si>
    <t>SYN-FD-0099</t>
  </si>
  <si>
    <t>SYN-ORD-0099</t>
  </si>
  <si>
    <t>SYN-FD-0100</t>
  </si>
  <si>
    <t>SYN-ORD-0100</t>
  </si>
  <si>
    <t>SYN-FD-0101</t>
  </si>
  <si>
    <t>SYN-ORD-0101</t>
  </si>
  <si>
    <t>SYN-FD-0102</t>
  </si>
  <si>
    <t>SYN-ORD-0102</t>
  </si>
  <si>
    <t>SYN-FD-0103</t>
  </si>
  <si>
    <t>SYN-ORD-0103</t>
  </si>
  <si>
    <t>SYN-FD-0104</t>
  </si>
  <si>
    <t>SYN-ORD-0104</t>
  </si>
  <si>
    <t>SYN-FD-0105</t>
  </si>
  <si>
    <t>SYN-ORD-0105</t>
  </si>
  <si>
    <t>SYN-FD-0106</t>
  </si>
  <si>
    <t>SYN-ORD-0106</t>
  </si>
  <si>
    <t>SYN-FD-0107</t>
  </si>
  <si>
    <t>SYN-ORD-0107</t>
  </si>
  <si>
    <t>SYN-FD-0108</t>
  </si>
  <si>
    <t>SYN-ORD-0108</t>
  </si>
  <si>
    <t>SYN-FD-0109</t>
  </si>
  <si>
    <t>SYN-ORD-0109</t>
  </si>
  <si>
    <t>SYN-FD-0110</t>
  </si>
  <si>
    <t>SYN-ORD-0110</t>
  </si>
  <si>
    <t>SYN-FD-0111</t>
  </si>
  <si>
    <t>SYN-ORD-0111</t>
  </si>
  <si>
    <t>SYN-FD-0112</t>
  </si>
  <si>
    <t>SYN-ORD-0112</t>
  </si>
  <si>
    <t>SYN-FD-0113</t>
  </si>
  <si>
    <t>SYN-ORD-0113</t>
  </si>
  <si>
    <t>SYN-FD-0114</t>
  </si>
  <si>
    <t>SYN-ORD-0114</t>
  </si>
  <si>
    <t>SYN-FD-0115</t>
  </si>
  <si>
    <t>SYN-ORD-0115</t>
  </si>
  <si>
    <t>SYN-FD-0116</t>
  </si>
  <si>
    <t>SYN-ORD-0116</t>
  </si>
  <si>
    <t>SYN-FD-0117</t>
  </si>
  <si>
    <t>SYN-ORD-0117</t>
  </si>
  <si>
    <t>SYN-FD-0118</t>
  </si>
  <si>
    <t>SYN-ORD-0118</t>
  </si>
  <si>
    <t>SYN-FD-0119</t>
  </si>
  <si>
    <t>SYN-ORD-0119</t>
  </si>
  <si>
    <t>SYN-FD-0120</t>
  </si>
  <si>
    <t>SYN-ORD-0120</t>
  </si>
  <si>
    <t>SYN-FD-0121</t>
  </si>
  <si>
    <t>SYN-ORD-0121</t>
  </si>
  <si>
    <t>SYN-FD-0122</t>
  </si>
  <si>
    <t>SYN-ORD-0122</t>
  </si>
  <si>
    <t>SYN-FD-0123</t>
  </si>
  <si>
    <t>SYN-ORD-0123</t>
  </si>
  <si>
    <t>SYN-FD-0124</t>
  </si>
  <si>
    <t>SYN-ORD-0124</t>
  </si>
  <si>
    <t>SYN-FD-0125</t>
  </si>
  <si>
    <t>SYN-ORD-0125</t>
  </si>
  <si>
    <t>SYN-FD-0126</t>
  </si>
  <si>
    <t>SYN-ORD-0126</t>
  </si>
  <si>
    <t>SYN-FD-0127</t>
  </si>
  <si>
    <t>SYN-ORD-0127</t>
  </si>
  <si>
    <t>SYN-FD-0128</t>
  </si>
  <si>
    <t>SYN-ORD-0128</t>
  </si>
  <si>
    <t>SYN-FD-0129</t>
  </si>
  <si>
    <t>SYN-ORD-0129</t>
  </si>
  <si>
    <t>SYN-FD-0130</t>
  </si>
  <si>
    <t>SYN-ORD-0130</t>
  </si>
  <si>
    <t>SYN-CA-0131</t>
  </si>
  <si>
    <t>Cancelado</t>
  </si>
  <si>
    <t>SYN-ORD-0131</t>
  </si>
  <si>
    <t>CANCELED</t>
  </si>
  <si>
    <t>SYN-CA-0132</t>
  </si>
  <si>
    <t>SYN-ORD-0132</t>
  </si>
  <si>
    <t>SYN-CA-0133</t>
  </si>
  <si>
    <t>SYN-ORD-0133</t>
  </si>
  <si>
    <t>SYN-CA-0134</t>
  </si>
  <si>
    <t>SYN-ORD-0134</t>
  </si>
  <si>
    <t>SYN-CA-0135</t>
  </si>
  <si>
    <t>SYN-ORD-0135</t>
  </si>
  <si>
    <t>SYN-CA-0136</t>
  </si>
  <si>
    <t>SYN-ORD-0136</t>
  </si>
  <si>
    <t>SYN-CA-0137</t>
  </si>
  <si>
    <t>SYN-ORD-0137</t>
  </si>
  <si>
    <t>SYN-CA-0138</t>
  </si>
  <si>
    <t>SYN-ORD-0138</t>
  </si>
  <si>
    <t>SYN-CA-0139</t>
  </si>
  <si>
    <t>SYN-ORD-0139</t>
  </si>
  <si>
    <t>SYN-CA-0140</t>
  </si>
  <si>
    <t>SYN-ORD-0140</t>
  </si>
  <si>
    <t>SYN-CA-0141</t>
  </si>
  <si>
    <t>SYN-ORD-0141</t>
  </si>
  <si>
    <t>SYN-CA-0142</t>
  </si>
  <si>
    <t>SYN-ORD-0142</t>
  </si>
  <si>
    <t>SYN-CA-0143</t>
  </si>
  <si>
    <t>SYN-ORD-0143</t>
  </si>
  <si>
    <t>SYN-CA-0144</t>
  </si>
  <si>
    <t>SYN-ORD-0144</t>
  </si>
  <si>
    <t>SYN-CA-0145</t>
  </si>
  <si>
    <t>SYN-ORD-0145</t>
  </si>
  <si>
    <t>SYN-CA-0146</t>
  </si>
  <si>
    <t>SYN-ORD-0146</t>
  </si>
  <si>
    <t>SYN-CA-0147</t>
  </si>
  <si>
    <t>SYN-ORD-0147</t>
  </si>
  <si>
    <t>SYN-CA-0148</t>
  </si>
  <si>
    <t>SYN-ORD-0148</t>
  </si>
  <si>
    <t>SYN-CA-0149</t>
  </si>
  <si>
    <t>SYN-ORD-0149</t>
  </si>
  <si>
    <t>SYN-CA-0150</t>
  </si>
  <si>
    <t>SYN-ORD-0150</t>
  </si>
  <si>
    <t>SYN-CA-0151</t>
  </si>
  <si>
    <t>SYN-ORD-0151</t>
  </si>
  <si>
    <t>SYN-CA-0152</t>
  </si>
  <si>
    <t>SYN-ORD-0152</t>
  </si>
  <si>
    <t>SYN-CA-0153</t>
  </si>
  <si>
    <t>SYN-ORD-0153</t>
  </si>
  <si>
    <t>SYN-CA-0154</t>
  </si>
  <si>
    <t>SYN-ORD-0154</t>
  </si>
  <si>
    <t>SYN-CA-0155</t>
  </si>
  <si>
    <t>SYN-ORD-0155</t>
  </si>
  <si>
    <t>SYN-CA-0156</t>
  </si>
  <si>
    <t>SYN-ORD-0156</t>
  </si>
  <si>
    <t>SYN-CA-0157</t>
  </si>
  <si>
    <t>SYN-ORD-0157</t>
  </si>
  <si>
    <t>SYN-CA-0158</t>
  </si>
  <si>
    <t>SYN-ORD-0158</t>
  </si>
  <si>
    <t>SYN-CA-0159</t>
  </si>
  <si>
    <t>SYN-ORD-0159</t>
  </si>
  <si>
    <t>SYN-CA-0160</t>
  </si>
  <si>
    <t>SYN-ORD-0160</t>
  </si>
  <si>
    <t>Recebimentos — eventos analisados</t>
  </si>
  <si>
    <t>Dados sintéticos: nos concluídos, o tempo termina no vínculo; nos abertos, a idade é calculada até 01/04/2025, data de corte.</t>
  </si>
  <si>
    <t>Recebimento</t>
  </si>
  <si>
    <t>Recebimento (UTC)</t>
  </si>
  <si>
    <t>Vínculo (UTC)</t>
  </si>
  <si>
    <t>Tempo / idade (dias)</t>
  </si>
  <si>
    <t>Classificação</t>
  </si>
  <si>
    <t>Válido</t>
  </si>
  <si>
    <t>Vínculo concluído</t>
  </si>
  <si>
    <t>Fora do prazo</t>
  </si>
  <si>
    <t>Sem vínculo</t>
  </si>
  <si>
    <t>Aberto vencido</t>
  </si>
  <si>
    <t>Tempo elegível</t>
  </si>
  <si>
    <t>Situação de validação</t>
  </si>
  <si>
    <t>Motivo de exclusão</t>
  </si>
  <si>
    <t>SYN-REC-0001</t>
  </si>
  <si>
    <t>valid</t>
  </si>
  <si>
    <t>SYN-REC-0002</t>
  </si>
  <si>
    <t>SYN-REC-0003</t>
  </si>
  <si>
    <t>SYN-REC-0004</t>
  </si>
  <si>
    <t>SYN-REC-0005</t>
  </si>
  <si>
    <t>SYN-REC-0006</t>
  </si>
  <si>
    <t>SYN-REC-0007</t>
  </si>
  <si>
    <t>SYN-REC-0008</t>
  </si>
  <si>
    <t>SYN-REC-0009</t>
  </si>
  <si>
    <t>SYN-REC-0010</t>
  </si>
  <si>
    <t>SYN-REC-0011</t>
  </si>
  <si>
    <t>SYN-REC-0012</t>
  </si>
  <si>
    <t>SYN-REC-0013</t>
  </si>
  <si>
    <t>SYN-REC-0014</t>
  </si>
  <si>
    <t>SYN-REC-0015</t>
  </si>
  <si>
    <t>SYN-REC-0016</t>
  </si>
  <si>
    <t>SYN-REC-0017</t>
  </si>
  <si>
    <t>SYN-REC-0018</t>
  </si>
  <si>
    <t>SYN-REC-0019</t>
  </si>
  <si>
    <t>SYN-REC-0020</t>
  </si>
  <si>
    <t>SYN-REC-0021</t>
  </si>
  <si>
    <t>SYN-REC-0022</t>
  </si>
  <si>
    <t>SYN-REC-0023</t>
  </si>
  <si>
    <t>SYN-REC-0024</t>
  </si>
  <si>
    <t>SYN-REC-0025</t>
  </si>
  <si>
    <t>SYN-REC-0026</t>
  </si>
  <si>
    <t>SYN-REC-0027</t>
  </si>
  <si>
    <t>SYN-REC-0028</t>
  </si>
  <si>
    <t>SYN-REC-0029</t>
  </si>
  <si>
    <t>SYN-REC-0030</t>
  </si>
  <si>
    <t>SYN-REC-0031</t>
  </si>
  <si>
    <t>SYN-REC-0032</t>
  </si>
  <si>
    <t>SYN-REC-0033</t>
  </si>
  <si>
    <t>SYN-REC-0034</t>
  </si>
  <si>
    <t>SYN-REC-0035</t>
  </si>
  <si>
    <t>SYN-REC-0036</t>
  </si>
  <si>
    <t>SYN-REC-0037</t>
  </si>
  <si>
    <t>SYN-REC-0038</t>
  </si>
  <si>
    <t>SYN-REC-0039</t>
  </si>
  <si>
    <t>SYN-REC-0040</t>
  </si>
  <si>
    <t>SYN-REC-0041</t>
  </si>
  <si>
    <t>SYN-REC-0042</t>
  </si>
  <si>
    <t>SYN-REC-0043</t>
  </si>
  <si>
    <t>SYN-REC-0044</t>
  </si>
  <si>
    <t>SYN-REC-0045</t>
  </si>
  <si>
    <t>SYN-REC-0046</t>
  </si>
  <si>
    <t>SYN-REC-0047</t>
  </si>
  <si>
    <t>SYN-REC-0048</t>
  </si>
  <si>
    <t>SYN-REC-0049</t>
  </si>
  <si>
    <t>SYN-REC-0050</t>
  </si>
  <si>
    <t>SYN-REC-0051</t>
  </si>
  <si>
    <t>SYN-REC-0052</t>
  </si>
  <si>
    <t>SYN-REC-0053</t>
  </si>
  <si>
    <t>SYN-REC-0054</t>
  </si>
  <si>
    <t>SYN-REC-0055</t>
  </si>
  <si>
    <t>SYN-REC-0056</t>
  </si>
  <si>
    <t>SYN-REC-0057</t>
  </si>
  <si>
    <t>SYN-REC-0058</t>
  </si>
  <si>
    <t>SYN-REC-0059</t>
  </si>
  <si>
    <t>SYN-REC-0060</t>
  </si>
  <si>
    <t>SYN-REC-0061</t>
  </si>
  <si>
    <t>SYN-REC-0062</t>
  </si>
  <si>
    <t>SYN-REC-0063</t>
  </si>
  <si>
    <t>SYN-REC-0064</t>
  </si>
  <si>
    <t>SYN-REC-0065</t>
  </si>
  <si>
    <t>SYN-REC-0066</t>
  </si>
  <si>
    <t>SYN-REC-0067</t>
  </si>
  <si>
    <t>SYN-REC-0068</t>
  </si>
  <si>
    <t>SYN-REC-0069</t>
  </si>
  <si>
    <t>SYN-REC-0070</t>
  </si>
  <si>
    <t>SYN-REC-0071</t>
  </si>
  <si>
    <t>SYN-REC-0072</t>
  </si>
  <si>
    <t>SYN-REC-0073</t>
  </si>
  <si>
    <t>SYN-REC-0074</t>
  </si>
  <si>
    <t>SYN-REC-0075</t>
  </si>
  <si>
    <t>SYN-REC-0076</t>
  </si>
  <si>
    <t>SYN-REC-0077</t>
  </si>
  <si>
    <t>SYN-REC-0078</t>
  </si>
  <si>
    <t>SYN-REC-0079</t>
  </si>
  <si>
    <t>SYN-REC-0080</t>
  </si>
  <si>
    <t>SYN-REC-0081</t>
  </si>
  <si>
    <t>SYN-REC-0082</t>
  </si>
  <si>
    <t>SYN-REC-0083</t>
  </si>
  <si>
    <t>SYN-REC-0084</t>
  </si>
  <si>
    <t>SYN-REC-0085</t>
  </si>
  <si>
    <t>SYN-REC-0086</t>
  </si>
  <si>
    <t>SYN-REC-0087</t>
  </si>
  <si>
    <t>SYN-REC-0088</t>
  </si>
  <si>
    <t>SYN-REC-0089</t>
  </si>
  <si>
    <t>SYN-REC-0090</t>
  </si>
  <si>
    <t>SYN-REC-0091</t>
  </si>
  <si>
    <t>SYN-REC-0092</t>
  </si>
  <si>
    <t>SYN-REC-0093</t>
  </si>
  <si>
    <t>SYN-REC-0094</t>
  </si>
  <si>
    <t>SYN-REC-0095</t>
  </si>
  <si>
    <t>SYN-REC-0096</t>
  </si>
  <si>
    <t>SYN-REC-0097</t>
  </si>
  <si>
    <t>SYN-REC-0098</t>
  </si>
  <si>
    <t>SYN-REC-0099</t>
  </si>
  <si>
    <t>SYN-REC-0100</t>
  </si>
  <si>
    <t>SYN-REC-0101</t>
  </si>
  <si>
    <t>SYN-REC-0102</t>
  </si>
  <si>
    <t>SYN-REC-0103</t>
  </si>
  <si>
    <t>SYN-REC-0104</t>
  </si>
  <si>
    <t>SYN-REC-0105</t>
  </si>
  <si>
    <t>SYN-REC-0106</t>
  </si>
  <si>
    <t>SYN-REC-0107</t>
  </si>
  <si>
    <t>SYN-REC-0108</t>
  </si>
  <si>
    <t>SYN-REC-0109</t>
  </si>
  <si>
    <t>SYN-REC-0110</t>
  </si>
  <si>
    <t>SYN-REC-0111</t>
  </si>
  <si>
    <t>SYN-REC-0112</t>
  </si>
  <si>
    <t>SYN-REC-0113</t>
  </si>
  <si>
    <t>SYN-REC-0114</t>
  </si>
  <si>
    <t>SYN-REC-0115</t>
  </si>
  <si>
    <t>SYN-REC-0116</t>
  </si>
  <si>
    <t>SYN-REC-0117</t>
  </si>
  <si>
    <t>SYN-REC-0118</t>
  </si>
  <si>
    <t>SYN-REC-0119</t>
  </si>
  <si>
    <t>SYN-REC-0120</t>
  </si>
  <si>
    <t>SYN-REC-0121</t>
  </si>
  <si>
    <t>SYN-REC-0122</t>
  </si>
  <si>
    <t>SYN-REC-0123</t>
  </si>
  <si>
    <t>SYN-REC-0124</t>
  </si>
  <si>
    <t>SYN-REC-0125</t>
  </si>
  <si>
    <t>SYN-REC-0126</t>
  </si>
  <si>
    <t>SYN-REC-0127</t>
  </si>
  <si>
    <t>SYN-REC-0128</t>
  </si>
  <si>
    <t>SYN-REC-0129</t>
  </si>
  <si>
    <t>SYN-REC-0130</t>
  </si>
  <si>
    <t>SYN-REC-0131</t>
  </si>
  <si>
    <t>SYN-REC-0132</t>
  </si>
  <si>
    <t>SYN-REC-0133</t>
  </si>
  <si>
    <t>SYN-REC-0134</t>
  </si>
  <si>
    <t>SYN-REC-0135</t>
  </si>
  <si>
    <t>SYN-REC-0136</t>
  </si>
  <si>
    <t>SYN-REC-0137</t>
  </si>
  <si>
    <t>SYN-REC-0138</t>
  </si>
  <si>
    <t>SYN-REC-0139</t>
  </si>
  <si>
    <t>SYN-REC-0140</t>
  </si>
  <si>
    <t>SYN-REC-0141</t>
  </si>
  <si>
    <t>SYN-REC-0142</t>
  </si>
  <si>
    <t>SYN-REC-0143</t>
  </si>
  <si>
    <t>SYN-REC-0144</t>
  </si>
  <si>
    <t>SYN-REC-0145</t>
  </si>
  <si>
    <t>SYN-REC-0146</t>
  </si>
  <si>
    <t>SYN-REC-0147</t>
  </si>
  <si>
    <t>SYN-REC-0148</t>
  </si>
  <si>
    <t>SYN-REC-0149</t>
  </si>
  <si>
    <t>SYN-REC-0150</t>
  </si>
  <si>
    <t>SYN-REC-0151</t>
  </si>
  <si>
    <t>SYN-REC-0152</t>
  </si>
  <si>
    <t>SYN-REC-0153</t>
  </si>
  <si>
    <t>SYN-REC-0154</t>
  </si>
  <si>
    <t>SYN-REC-0155</t>
  </si>
  <si>
    <t>SYN-REC-0156</t>
  </si>
  <si>
    <t>SYN-REC-0157</t>
  </si>
  <si>
    <t>SYN-REC-0158</t>
  </si>
  <si>
    <t>SYN-REC-0159</t>
  </si>
  <si>
    <t>SYN-REC-0160</t>
  </si>
  <si>
    <t>SYN-REC-0161</t>
  </si>
  <si>
    <t>SYN-REC-0162</t>
  </si>
  <si>
    <t>SYN-REC-0163</t>
  </si>
  <si>
    <t>SYN-REC-0164</t>
  </si>
  <si>
    <t>SYN-REC-0165</t>
  </si>
  <si>
    <t>SYN-REC-0166</t>
  </si>
  <si>
    <t>SYN-REC-0167</t>
  </si>
  <si>
    <t>SYN-REC-0168</t>
  </si>
  <si>
    <t>SYN-REC-0169</t>
  </si>
  <si>
    <t>SYN-REC-0170</t>
  </si>
  <si>
    <t>SYN-REC-0171</t>
  </si>
  <si>
    <t>SYN-REC-0172</t>
  </si>
  <si>
    <t>SYN-REC-0173</t>
  </si>
  <si>
    <t>SYN-REC-0174</t>
  </si>
  <si>
    <t>SYN-REC-0175</t>
  </si>
  <si>
    <t>SYN-REC-0176</t>
  </si>
  <si>
    <t>SYN-REC-0177</t>
  </si>
  <si>
    <t>SYN-REC-0178</t>
  </si>
  <si>
    <t>SYN-REC-0179</t>
  </si>
  <si>
    <t>SYN-REC-0180</t>
  </si>
  <si>
    <t>SYN-REC-0181</t>
  </si>
  <si>
    <t>SYN-REC-0182</t>
  </si>
  <si>
    <t>SYN-REC-0183</t>
  </si>
  <si>
    <t>SYN-REC-0184</t>
  </si>
  <si>
    <t>Indicadores do MASP</t>
  </si>
  <si>
    <t>Síntese dos resultados calculados a partir de 184 eventos válidos.</t>
  </si>
  <si>
    <t>Vínculos concluídos</t>
  </si>
  <si>
    <t>Indicador</t>
  </si>
  <si>
    <t>Resultado</t>
  </si>
  <si>
    <t>Como interpretar</t>
  </si>
  <si>
    <t>Recebimentos válidos</t>
  </si>
  <si>
    <t>Todos os eventos válidos; inválidos e fora do recorte seriam excluídos.</t>
  </si>
  <si>
    <t>Somente vínculos concluídos válidos.</t>
  </si>
  <si>
    <t>Concluídos fora do prazo</t>
  </si>
  <si>
    <t>Concluídos com tempo superior a 3 dias corridos.</t>
  </si>
  <si>
    <t>Percentual fora do prazo</t>
  </si>
  <si>
    <t>40 vínculos fora do prazo ÷ 160 vínculos concluídos = 25%.</t>
  </si>
  <si>
    <t>Mediana do tempo de vinculação (dias)</t>
  </si>
  <si>
    <t>Mediana calculada somente entre vínculos concluídos válidos.</t>
  </si>
  <si>
    <t>Pendências abertas — não integram o denominador dos concluídos</t>
  </si>
  <si>
    <t>Recebimentos sem vínculo</t>
  </si>
  <si>
    <t>Pendências abertas na data de corte; apresentadas separadamente.</t>
  </si>
  <si>
    <t>Abertos vencidos</t>
  </si>
  <si>
    <t>Abertos cuja idade no corte é superior a 3 dias.</t>
  </si>
  <si>
    <t>Observação</t>
  </si>
  <si>
    <t>Os dados são sintéticos. O percentual de 25% corresponde a 40 vínculos fora do prazo entre 160 concluídos. As 24 pendências abertas são apresentadas separadamente.</t>
  </si>
  <si>
    <t>Pareto — vínculos concluídos fora do prazo</t>
  </si>
  <si>
    <t>Dados sintéticos: ocorrências por obra, percentual acumulado e referência de 80%.</t>
  </si>
  <si>
    <t>Ocorrências</t>
  </si>
  <si>
    <t>% do total</t>
  </si>
  <si>
    <t>% acumulado</t>
  </si>
  <si>
    <t>Referência 80%</t>
  </si>
  <si>
    <t>Critério de análise</t>
  </si>
  <si>
    <t>Foram considerados recebimentos válidos e vinculados fora do prazo. As obras estão ordenadas pelo número de ocorrências e, em caso de empate, pelo código da obra. Cada recebimento é contado uma vez.</t>
  </si>
  <si>
    <t>Interpretação dos resultados</t>
  </si>
  <si>
    <t>Há 40 ocorrência(s) distribuída(s) entre 8 obra(s); a descrição é apenas distributiva e não infere causas nem concentração 80/20.</t>
  </si>
  <si>
    <t>Estimativa de custos das atividades adicionais</t>
  </si>
  <si>
    <t>Valores fictícios utilizados para análise acadêmica.</t>
  </si>
  <si>
    <t>Atividade adicional</t>
  </si>
  <si>
    <t>Minutos</t>
  </si>
  <si>
    <t>Custo-hora (R$)</t>
  </si>
  <si>
    <t>Custo simulado (R$)</t>
  </si>
  <si>
    <t>Relação com o atraso</t>
  </si>
  <si>
    <t>Justificativa da premissa</t>
  </si>
  <si>
    <t>ID técnico do custo</t>
  </si>
  <si>
    <t>Código técnico da relação</t>
  </si>
  <si>
    <t>Conferência adicional de documentação</t>
  </si>
  <si>
    <t>Não atribuído ao atraso</t>
  </si>
  <si>
    <t>Estimativa do tempo dedicado à busca e à conferência adicional de documentos.</t>
  </si>
  <si>
    <t>SYN-COST-0001</t>
  </si>
  <si>
    <t>nao_atribuida</t>
  </si>
  <si>
    <t>Regularização simulada de cadastro</t>
  </si>
  <si>
    <t>Associado por premissa simulada</t>
  </si>
  <si>
    <t>Estimativa do tempo dedicado ao reenvio da documentação.</t>
  </si>
  <si>
    <t>SYN-COST-0002</t>
  </si>
  <si>
    <t>assumida_no_cenario</t>
  </si>
  <si>
    <t>Revisão acadêmica de vínculo</t>
  </si>
  <si>
    <t>Atividade registrada em recebimento dentro do prazo; custo não atribuído ao atraso.</t>
  </si>
  <si>
    <t>SYN-COST-0003</t>
  </si>
  <si>
    <t>Premissa didática de atividade adicional; não comprova causa, tarifa ou prejuízo real.</t>
  </si>
  <si>
    <t>SYN-COST-0004</t>
  </si>
  <si>
    <t>SYN-COST-0005</t>
  </si>
  <si>
    <t>Indeterminado</t>
  </si>
  <si>
    <t>SYN-COST-0006</t>
  </si>
  <si>
    <t>indeterminada</t>
  </si>
  <si>
    <t>SYN-COST-0007</t>
  </si>
  <si>
    <t>SYN-COST-0008</t>
  </si>
  <si>
    <t>SYN-COST-0009</t>
  </si>
  <si>
    <t>SYN-COST-0010</t>
  </si>
  <si>
    <t>SYN-COST-0011</t>
  </si>
  <si>
    <t>SYN-COST-0012</t>
  </si>
  <si>
    <t>SYN-COST-0013</t>
  </si>
  <si>
    <t>SYN-COST-0014</t>
  </si>
  <si>
    <t>SYN-COST-0015</t>
  </si>
  <si>
    <t>SYN-COST-0016</t>
  </si>
  <si>
    <t>SYN-COST-0017</t>
  </si>
  <si>
    <t>SYN-COST-0018</t>
  </si>
  <si>
    <t>SYN-COST-0019</t>
  </si>
  <si>
    <t>SYN-COST-0020</t>
  </si>
  <si>
    <t>SYN-COST-0021</t>
  </si>
  <si>
    <t>SYN-COST-0022</t>
  </si>
  <si>
    <t>SYN-COST-0023</t>
  </si>
  <si>
    <t>SYN-COST-0024</t>
  </si>
  <si>
    <t>Resumo dos custos</t>
  </si>
  <si>
    <t>Total registrado</t>
  </si>
  <si>
    <t>Método de cálculo</t>
  </si>
  <si>
    <t>O custo de cada atividade corresponde ao tempo empregado, em minutos, dividido por 60 e multiplicado pelo custo por hora. Os valores são arredondados para duas casas decimais por atividade antes da soma.</t>
  </si>
  <si>
    <t>Limitações da análise</t>
  </si>
  <si>
    <t>Tempos e valores são fictícios. A associação de R$ 1.005,00 aos atrasos foi estabelecida como premissa do estudo e não demonstra causalidade ou prejuízo real. R$ 485,00 não foram atribuídos ao atraso.</t>
  </si>
</sst>
</file>

<file path=xl/styles.xml><?xml version="1.0" encoding="utf-8"?>
<styleSheet xmlns="http://schemas.openxmlformats.org/spreadsheetml/2006/main">
  <numFmts count="5">
    <numFmt numFmtId="164" formatCode="dd/mm/yyyy hh:mm:ss &quot;UTC&quot;"/>
    <numFmt numFmtId="165" formatCode="R$ #,##0.00"/>
    <numFmt numFmtId="166" formatCode="0.00 &quot;dias&quot;"/>
    <numFmt numFmtId="167" formatCode="0.00"/>
    <numFmt numFmtId="168" formatCode="0%"/>
  </numFmts>
  <fonts count="12">
    <font>
      <sz val="11"/>
      <color theme="1"/>
      <name val="Calibri"/>
      <family val="2"/>
      <scheme val="minor"/>
    </font>
    <font>
      <b/>
      <sz val="18"/>
      <color rgb="FFFFFFFF"/>
      <name val="Arial"/>
      <family val="2"/>
    </font>
    <font>
      <sz val="11"/>
      <color rgb="FF334E68"/>
      <name val="Arial"/>
      <family val="2"/>
    </font>
    <font>
      <b/>
      <sz val="12"/>
      <color rgb="FF17324D"/>
      <name val="Arial"/>
      <family val="2"/>
    </font>
    <font>
      <b/>
      <sz val="11"/>
      <color rgb="FF1F2933"/>
      <name val="Arial"/>
      <family val="2"/>
    </font>
    <font>
      <sz val="11"/>
      <color rgb="FF1F2933"/>
      <name val="Arial"/>
      <family val="2"/>
    </font>
    <font>
      <b/>
      <sz val="11"/>
      <color rgb="FFFFFFFF"/>
      <name val="Arial"/>
      <family val="2"/>
    </font>
    <font>
      <b/>
      <sz val="11"/>
      <color rgb="FF8B2C24"/>
      <name val="Arial"/>
      <family val="2"/>
    </font>
    <font>
      <b/>
      <sz val="11"/>
      <color rgb="FF205B35"/>
      <name val="Arial"/>
      <family val="2"/>
    </font>
    <font>
      <b/>
      <sz val="11"/>
      <color rgb="FF7A4B00"/>
      <name val="Arial"/>
      <family val="2"/>
    </font>
    <font>
      <b/>
      <sz val="11"/>
      <color rgb="FF24577A"/>
      <name val="Arial"/>
      <family val="2"/>
    </font>
    <font>
      <sz val="11"/>
      <color rgb="FF5F45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AF1F6"/>
        <bgColor indexed="64"/>
      </patternFill>
    </fill>
    <fill>
      <patternFill patternType="solid">
        <fgColor rgb="FFDCEAF3"/>
        <bgColor indexed="64"/>
      </patternFill>
    </fill>
    <fill>
      <patternFill patternType="solid">
        <fgColor rgb="FFE8F0F5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45B7A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BE5E3"/>
        <bgColor indexed="64"/>
      </patternFill>
    </fill>
    <fill>
      <patternFill patternType="solid">
        <fgColor rgb="FFE3F3E8"/>
        <bgColor indexed="64"/>
      </patternFill>
    </fill>
    <fill>
      <patternFill patternType="solid">
        <fgColor rgb="FFFFF0D9"/>
        <bgColor indexed="64"/>
      </patternFill>
    </fill>
    <fill>
      <patternFill patternType="solid">
        <fgColor rgb="FFE8F1FA"/>
        <bgColor indexed="64"/>
      </patternFill>
    </fill>
    <fill>
      <patternFill patternType="solid">
        <fgColor rgb="FFEDF4F8"/>
        <bgColor indexed="64"/>
      </patternFill>
    </fill>
    <fill>
      <patternFill patternType="solid">
        <fgColor rgb="FFFFF8E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9CB8CA"/>
      </bottom>
      <diagonal/>
    </border>
    <border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4" fillId="5" borderId="2" xfId="0" applyFont="1" applyFill="1" applyBorder="1" applyAlignment="1">
      <alignment vertical="top" wrapText="1"/>
    </xf>
    <xf numFmtId="0" fontId="5" fillId="6" borderId="2" xfId="0" applyFont="1" applyFill="1" applyBorder="1" applyAlignment="1">
      <alignment vertical="top" wrapText="1"/>
    </xf>
    <xf numFmtId="164" fontId="5" fillId="7" borderId="2" xfId="0" applyNumberFormat="1" applyFont="1" applyFill="1" applyBorder="1" applyAlignment="1">
      <alignment horizontal="right" vertical="top"/>
    </xf>
    <xf numFmtId="1" fontId="5" fillId="7" borderId="2" xfId="0" applyNumberFormat="1" applyFont="1" applyFill="1" applyBorder="1" applyAlignment="1">
      <alignment horizontal="right" vertical="top"/>
    </xf>
    <xf numFmtId="0" fontId="6" fillId="8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vertical="top" wrapText="1"/>
    </xf>
    <xf numFmtId="165" fontId="5" fillId="7" borderId="2" xfId="0" applyNumberFormat="1" applyFont="1" applyFill="1" applyBorder="1" applyAlignment="1">
      <alignment horizontal="right" vertical="top"/>
    </xf>
    <xf numFmtId="0" fontId="5" fillId="9" borderId="2" xfId="0" applyFont="1" applyFill="1" applyBorder="1" applyAlignment="1">
      <alignment vertical="top" wrapText="1"/>
    </xf>
    <xf numFmtId="164" fontId="5" fillId="9" borderId="2" xfId="0" applyNumberFormat="1" applyFont="1" applyFill="1" applyBorder="1" applyAlignment="1">
      <alignment horizontal="right" vertical="top"/>
    </xf>
    <xf numFmtId="165" fontId="5" fillId="9" borderId="2" xfId="0" applyNumberFormat="1" applyFont="1" applyFill="1" applyBorder="1" applyAlignment="1">
      <alignment horizontal="right" vertical="top"/>
    </xf>
    <xf numFmtId="166" fontId="5" fillId="7" borderId="2" xfId="0" applyNumberFormat="1" applyFont="1" applyFill="1" applyBorder="1" applyAlignment="1">
      <alignment horizontal="right" vertical="top"/>
    </xf>
    <xf numFmtId="0" fontId="7" fillId="10" borderId="2" xfId="0" applyFont="1" applyFill="1" applyBorder="1" applyAlignment="1">
      <alignment vertical="top" wrapText="1"/>
    </xf>
    <xf numFmtId="167" fontId="5" fillId="7" borderId="2" xfId="0" applyNumberFormat="1" applyFont="1" applyFill="1" applyBorder="1" applyAlignment="1">
      <alignment horizontal="right" vertical="top"/>
    </xf>
    <xf numFmtId="166" fontId="5" fillId="9" borderId="2" xfId="0" applyNumberFormat="1" applyFont="1" applyFill="1" applyBorder="1" applyAlignment="1">
      <alignment horizontal="right" vertical="top"/>
    </xf>
    <xf numFmtId="1" fontId="5" fillId="9" borderId="2" xfId="0" applyNumberFormat="1" applyFont="1" applyFill="1" applyBorder="1" applyAlignment="1">
      <alignment horizontal="right" vertical="top"/>
    </xf>
    <xf numFmtId="167" fontId="5" fillId="9" borderId="2" xfId="0" applyNumberFormat="1" applyFont="1" applyFill="1" applyBorder="1" applyAlignment="1">
      <alignment horizontal="right" vertical="top"/>
    </xf>
    <xf numFmtId="0" fontId="8" fillId="11" borderId="2" xfId="0" applyFont="1" applyFill="1" applyBorder="1" applyAlignment="1">
      <alignment vertical="top" wrapText="1"/>
    </xf>
    <xf numFmtId="0" fontId="9" fillId="12" borderId="2" xfId="0" applyFont="1" applyFill="1" applyBorder="1" applyAlignment="1">
      <alignment vertical="top" wrapText="1"/>
    </xf>
    <xf numFmtId="0" fontId="10" fillId="13" borderId="2" xfId="0" applyFont="1" applyFill="1" applyBorder="1" applyAlignment="1">
      <alignment vertical="top" wrapText="1"/>
    </xf>
    <xf numFmtId="1" fontId="3" fillId="14" borderId="2" xfId="0" applyNumberFormat="1" applyFont="1" applyFill="1" applyBorder="1" applyAlignment="1">
      <alignment horizontal="right" vertical="top"/>
    </xf>
    <xf numFmtId="168" fontId="3" fillId="14" borderId="2" xfId="0" applyNumberFormat="1" applyFont="1" applyFill="1" applyBorder="1" applyAlignment="1">
      <alignment horizontal="right" vertical="top"/>
    </xf>
    <xf numFmtId="167" fontId="3" fillId="14" borderId="2" xfId="0" applyNumberFormat="1" applyFont="1" applyFill="1" applyBorder="1" applyAlignment="1">
      <alignment horizontal="right" vertical="top"/>
    </xf>
    <xf numFmtId="0" fontId="11" fillId="15" borderId="2" xfId="0" applyFont="1" applyFill="1" applyBorder="1" applyAlignment="1">
      <alignment vertical="top" wrapText="1"/>
    </xf>
    <xf numFmtId="168" fontId="5" fillId="7" borderId="2" xfId="0" applyNumberFormat="1" applyFont="1" applyFill="1" applyBorder="1" applyAlignment="1">
      <alignment horizontal="right" vertical="top"/>
    </xf>
    <xf numFmtId="168" fontId="5" fillId="9" borderId="2" xfId="0" applyNumberFormat="1" applyFont="1" applyFill="1" applyBorder="1" applyAlignment="1">
      <alignment horizontal="right" vertical="top"/>
    </xf>
    <xf numFmtId="165" fontId="3" fillId="14" borderId="2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Distribuição dos vínculos fora do prazo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Pareto!$C$4</c:f>
              <c:strCache>
                <c:ptCount val="1"/>
                <c:pt idx="0">
                  <c:v>Ocorrências</c:v>
                </c:pt>
              </c:strCache>
            </c:strRef>
          </c:tx>
          <c:spPr>
            <a:solidFill>
              <a:srgbClr val="2D6A8A"/>
            </a:solidFill>
            <a:ln>
              <a:solidFill>
                <a:srgbClr val="17324D"/>
              </a:solidFill>
            </a:ln>
          </c:spPr>
          <c:cat>
            <c:strRef>
              <c:f>Pareto!$B$5:$B$12</c:f>
              <c:strCache>
                <c:ptCount val="8"/>
                <c:pt idx="0">
                  <c:v>Obra Acadêmica Vale</c:v>
                </c:pt>
                <c:pt idx="1">
                  <c:v>Obra Acadêmica Norte</c:v>
                </c:pt>
                <c:pt idx="2">
                  <c:v>Obra Acadêmica Centro</c:v>
                </c:pt>
                <c:pt idx="3">
                  <c:v>Obra Acadêmica Sul</c:v>
                </c:pt>
                <c:pt idx="4">
                  <c:v>Obra Acadêmica Leste</c:v>
                </c:pt>
                <c:pt idx="5">
                  <c:v>Obra Acadêmica Serra</c:v>
                </c:pt>
                <c:pt idx="6">
                  <c:v>Obra Acadêmica Lago</c:v>
                </c:pt>
                <c:pt idx="7">
                  <c:v>Obra Acadêmica Oeste</c:v>
                </c:pt>
              </c:strCache>
            </c:strRef>
          </c:cat>
          <c:val>
            <c:numRef>
              <c:f>Pareto!$C$5:$C$12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</c:numCache>
            </c:numRef>
          </c:val>
        </c:ser>
        <c:axId val="50010001"/>
        <c:axId val="50010002"/>
      </c:barChart>
      <c:lineChart>
        <c:grouping val="standard"/>
        <c:ser>
          <c:idx val="1"/>
          <c:order val="1"/>
          <c:tx>
            <c:strRef>
              <c:f>Pareto!$E$4</c:f>
              <c:strCache>
                <c:ptCount val="1"/>
                <c:pt idx="0">
                  <c:v>% acumulado</c:v>
                </c:pt>
              </c:strCache>
            </c:strRef>
          </c:tx>
          <c:spPr>
            <a:ln w="28575">
              <a:solidFill>
                <a:srgbClr val="D05A3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>
                <a:solidFill>
                  <a:srgbClr val="D05A3B"/>
                </a:solidFill>
              </a:ln>
            </c:spPr>
          </c:marker>
          <c:cat>
            <c:strRef>
              <c:f>Pareto!$B$5:$B$12</c:f>
              <c:strCache>
                <c:ptCount val="8"/>
                <c:pt idx="0">
                  <c:v>Obra Acadêmica Vale</c:v>
                </c:pt>
                <c:pt idx="1">
                  <c:v>Obra Acadêmica Norte</c:v>
                </c:pt>
                <c:pt idx="2">
                  <c:v>Obra Acadêmica Centro</c:v>
                </c:pt>
                <c:pt idx="3">
                  <c:v>Obra Acadêmica Sul</c:v>
                </c:pt>
                <c:pt idx="4">
                  <c:v>Obra Acadêmica Leste</c:v>
                </c:pt>
                <c:pt idx="5">
                  <c:v>Obra Acadêmica Serra</c:v>
                </c:pt>
                <c:pt idx="6">
                  <c:v>Obra Acadêmica Lago</c:v>
                </c:pt>
                <c:pt idx="7">
                  <c:v>Obra Acadêmica Oeste</c:v>
                </c:pt>
              </c:strCache>
            </c:strRef>
          </c:cat>
          <c:val>
            <c:numRef>
              <c:f>Pareto!$E$5:$E$12</c:f>
              <c:numCache>
                <c:formatCode>General</c:formatCode>
                <c:ptCount val="8"/>
                <c:pt idx="0">
                  <c:v>0.15</c:v>
                </c:pt>
                <c:pt idx="1">
                  <c:v>0.275</c:v>
                </c:pt>
                <c:pt idx="2">
                  <c:v>0.4</c:v>
                </c:pt>
                <c:pt idx="3">
                  <c:v>0.525</c:v>
                </c:pt>
                <c:pt idx="4">
                  <c:v>0.65</c:v>
                </c:pt>
                <c:pt idx="5">
                  <c:v>0.775</c:v>
                </c:pt>
                <c:pt idx="6">
                  <c:v>0.9</c:v>
                </c:pt>
                <c:pt idx="7">
                  <c:v>1.0</c:v>
                </c:pt>
              </c:numCache>
            </c:numRef>
          </c:val>
        </c:ser>
        <c:ser>
          <c:idx val="2"/>
          <c:order val="2"/>
          <c:tx>
            <c:strRef>
              <c:f>Pareto!$F$4</c:f>
              <c:strCache>
                <c:ptCount val="1"/>
                <c:pt idx="0">
                  <c:v>Referência 80%</c:v>
                </c:pt>
              </c:strCache>
            </c:strRef>
          </c:tx>
          <c:spPr>
            <a:ln>
              <a:solidFill>
                <a:srgbClr val="6B7280"/>
              </a:solidFill>
              <a:prstDash val="dash"/>
            </a:ln>
          </c:spPr>
          <c:marker>
            <c:symbol val="none"/>
          </c:marker>
          <c:cat>
            <c:strRef>
              <c:f>Pareto!$B$5:$B$12</c:f>
              <c:strCache>
                <c:ptCount val="8"/>
                <c:pt idx="0">
                  <c:v>Obra Acadêmica Vale</c:v>
                </c:pt>
                <c:pt idx="1">
                  <c:v>Obra Acadêmica Norte</c:v>
                </c:pt>
                <c:pt idx="2">
                  <c:v>Obra Acadêmica Centro</c:v>
                </c:pt>
                <c:pt idx="3">
                  <c:v>Obra Acadêmica Sul</c:v>
                </c:pt>
                <c:pt idx="4">
                  <c:v>Obra Acadêmica Leste</c:v>
                </c:pt>
                <c:pt idx="5">
                  <c:v>Obra Acadêmica Serra</c:v>
                </c:pt>
                <c:pt idx="6">
                  <c:v>Obra Acadêmica Lago</c:v>
                </c:pt>
                <c:pt idx="7">
                  <c:v>Obra Acadêmica Oeste</c:v>
                </c:pt>
              </c:strCache>
            </c:strRef>
          </c:cat>
          <c:val>
            <c:numRef>
              <c:f>Pareto!$F$5:$F$12</c:f>
              <c:numCache>
                <c:formatCode>General</c:formatCode>
                <c:ptCount val="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Obra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D7E0E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Ocorrências</a:t>
                </a:r>
              </a:p>
            </c:rich>
          </c:tx>
          <c:layout/>
        </c:title>
        <c:numFmt formatCode="0" sourceLinked="0"/>
        <c:tickLblPos val="nextTo"/>
        <c:crossAx val="50010001"/>
        <c:crosses val="autoZero"/>
        <c:crossBetween val="between"/>
        <c:majorUnit val="1"/>
      </c:valAx>
      <c:valAx>
        <c:axId val="60010002"/>
        <c:scaling>
          <c:orientation val="minMax"/>
          <c:max val="1"/>
          <c:min val="0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Percentual acumulado</a:t>
                </a:r>
              </a:p>
            </c:rich>
          </c:tx>
          <c:layout/>
        </c:title>
        <c:numFmt formatCode="0%" sourceLinked="0"/>
        <c:tickLblPos val="nextTo"/>
        <c:crossAx val="60010001"/>
        <c:crosses val="max"/>
        <c:crossBetween val="between"/>
        <c:majorUnit val="0.2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solidFill>
      <a:srgbClr val="FFFFFF"/>
    </a:solidFill>
    <a:ln>
      <a:solidFill>
        <a:srgbClr val="C9D3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3</xdr:col>
      <xdr:colOff>66675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7324D"/>
    <pageSetUpPr fitToPage="1"/>
  </sheetPr>
  <dimension ref="A1:H24"/>
  <sheetViews>
    <sheetView showGridLines="0" tabSelected="1" zoomScale="95" zoomScaleNormal="95" workbookViewId="0"/>
  </sheetViews>
  <sheetFormatPr defaultRowHeight="18" customHeight="1"/>
  <cols>
    <col min="1" max="2" width="15.7109375" customWidth="1"/>
    <col min="3" max="8" width="14.7109375" customWidth="1"/>
  </cols>
  <sheetData>
    <row r="1" spans="1:8" ht="29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23" customHeight="1">
      <c r="A4" s="3" t="s">
        <v>2</v>
      </c>
      <c r="B4" s="3"/>
      <c r="C4" s="3"/>
      <c r="D4" s="3"/>
      <c r="E4" s="3"/>
      <c r="F4" s="3"/>
      <c r="G4" s="3"/>
      <c r="H4" s="3"/>
    </row>
    <row r="5" spans="1:8" ht="34" customHeight="1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spans="1:8" ht="34" customHeight="1">
      <c r="A6" s="4" t="s">
        <v>5</v>
      </c>
      <c r="B6" s="4"/>
      <c r="C6" s="5" t="s">
        <v>6</v>
      </c>
      <c r="D6" s="5"/>
      <c r="E6" s="5"/>
      <c r="F6" s="5"/>
      <c r="G6" s="5"/>
      <c r="H6" s="5"/>
    </row>
    <row r="7" spans="1:8" ht="34" customHeight="1">
      <c r="A7" s="4" t="s">
        <v>7</v>
      </c>
      <c r="B7" s="4"/>
      <c r="C7" s="5" t="s">
        <v>8</v>
      </c>
      <c r="D7" s="5"/>
      <c r="E7" s="5"/>
      <c r="F7" s="5"/>
      <c r="G7" s="5"/>
      <c r="H7" s="5"/>
    </row>
    <row r="9" spans="1:8" ht="23" customHeight="1">
      <c r="A9" s="3" t="s">
        <v>9</v>
      </c>
      <c r="B9" s="3"/>
      <c r="C9" s="3"/>
      <c r="D9" s="3"/>
      <c r="E9" s="3"/>
      <c r="F9" s="3"/>
      <c r="G9" s="3"/>
      <c r="H9" s="3"/>
    </row>
    <row r="10" spans="1:8" ht="34" customHeight="1">
      <c r="A10" s="4" t="s">
        <v>10</v>
      </c>
      <c r="B10" s="4"/>
      <c r="C10" s="6">
        <v>45748</v>
      </c>
      <c r="D10" s="5"/>
      <c r="E10" s="5"/>
      <c r="F10" s="5"/>
      <c r="G10" s="5"/>
      <c r="H10" s="5"/>
    </row>
    <row r="11" spans="1:8" ht="34" customHeight="1">
      <c r="A11" s="4" t="s">
        <v>11</v>
      </c>
      <c r="B11" s="4"/>
      <c r="C11" s="7">
        <v>3</v>
      </c>
      <c r="D11" s="5"/>
      <c r="E11" s="5"/>
      <c r="F11" s="5"/>
      <c r="G11" s="5"/>
      <c r="H11" s="5"/>
    </row>
    <row r="12" spans="1:8" ht="34" customHeight="1">
      <c r="A12" s="4" t="s">
        <v>12</v>
      </c>
      <c r="B12" s="4"/>
      <c r="C12" s="5" t="s">
        <v>13</v>
      </c>
      <c r="D12" s="5"/>
      <c r="E12" s="5"/>
      <c r="F12" s="5"/>
      <c r="G12" s="5"/>
      <c r="H12" s="5"/>
    </row>
    <row r="13" spans="1:8" ht="34" customHeight="1">
      <c r="A13" s="4" t="s">
        <v>14</v>
      </c>
      <c r="B13" s="4"/>
      <c r="C13" s="5" t="s">
        <v>15</v>
      </c>
      <c r="D13" s="5"/>
      <c r="E13" s="5"/>
      <c r="F13" s="5"/>
      <c r="G13" s="5"/>
      <c r="H13" s="5"/>
    </row>
    <row r="14" spans="1:8" ht="34" customHeight="1">
      <c r="A14" s="4" t="s">
        <v>16</v>
      </c>
      <c r="B14" s="4"/>
      <c r="C14" s="5" t="s">
        <v>17</v>
      </c>
      <c r="D14" s="5"/>
      <c r="E14" s="5"/>
      <c r="F14" s="5"/>
      <c r="G14" s="5"/>
      <c r="H14" s="5"/>
    </row>
    <row r="16" spans="1:8" ht="23" customHeight="1">
      <c r="A16" s="3" t="s">
        <v>18</v>
      </c>
      <c r="B16" s="3"/>
      <c r="C16" s="3"/>
      <c r="D16" s="3"/>
      <c r="E16" s="3"/>
      <c r="F16" s="3"/>
      <c r="G16" s="3"/>
      <c r="H16" s="3"/>
    </row>
    <row r="17" spans="1:8" ht="34" customHeight="1">
      <c r="A17" s="4" t="s">
        <v>19</v>
      </c>
      <c r="B17" s="4"/>
      <c r="C17" s="5" t="s">
        <v>20</v>
      </c>
      <c r="D17" s="5"/>
      <c r="E17" s="5"/>
      <c r="F17" s="5"/>
      <c r="G17" s="5"/>
      <c r="H17" s="5"/>
    </row>
    <row r="18" spans="1:8" ht="34" customHeight="1">
      <c r="A18" s="4" t="s">
        <v>21</v>
      </c>
      <c r="B18" s="4"/>
      <c r="C18" s="5" t="s">
        <v>22</v>
      </c>
      <c r="D18" s="5"/>
      <c r="E18" s="5"/>
      <c r="F18" s="5"/>
      <c r="G18" s="5"/>
      <c r="H18" s="5"/>
    </row>
    <row r="19" spans="1:8" ht="47" customHeight="1">
      <c r="A19" s="4" t="s">
        <v>23</v>
      </c>
      <c r="B19" s="4"/>
      <c r="C19" s="5" t="s">
        <v>24</v>
      </c>
      <c r="D19" s="5"/>
      <c r="E19" s="5"/>
      <c r="F19" s="5"/>
      <c r="G19" s="5"/>
      <c r="H19" s="5"/>
    </row>
    <row r="20" spans="1:8" ht="34" customHeight="1">
      <c r="A20" s="4" t="s">
        <v>25</v>
      </c>
      <c r="B20" s="4"/>
      <c r="C20" s="5" t="s">
        <v>26</v>
      </c>
      <c r="D20" s="5"/>
      <c r="E20" s="5"/>
      <c r="F20" s="5"/>
      <c r="G20" s="5"/>
      <c r="H20" s="5"/>
    </row>
    <row r="22" spans="1:8" ht="23" customHeight="1">
      <c r="A22" s="3" t="s">
        <v>27</v>
      </c>
      <c r="B22" s="3"/>
      <c r="C22" s="3"/>
      <c r="D22" s="3"/>
      <c r="E22" s="3"/>
      <c r="F22" s="3"/>
      <c r="G22" s="3"/>
      <c r="H22" s="3"/>
    </row>
    <row r="23" spans="1:8" ht="47" customHeight="1">
      <c r="A23" s="4" t="s">
        <v>28</v>
      </c>
      <c r="B23" s="4"/>
      <c r="C23" s="5" t="s">
        <v>29</v>
      </c>
      <c r="D23" s="5"/>
      <c r="E23" s="5"/>
      <c r="F23" s="5"/>
      <c r="G23" s="5"/>
      <c r="H23" s="5"/>
    </row>
    <row r="24" spans="1:8" ht="47" customHeight="1">
      <c r="A24" s="4" t="s">
        <v>30</v>
      </c>
      <c r="B24" s="4"/>
      <c r="C24" s="5" t="s">
        <v>31</v>
      </c>
      <c r="D24" s="5"/>
      <c r="E24" s="5"/>
      <c r="F24" s="5"/>
      <c r="G24" s="5"/>
      <c r="H24" s="5"/>
    </row>
  </sheetData>
  <mergeCells count="34">
    <mergeCell ref="A1:H1"/>
    <mergeCell ref="A2:H2"/>
    <mergeCell ref="A4:H4"/>
    <mergeCell ref="A5:B5"/>
    <mergeCell ref="C5:H5"/>
    <mergeCell ref="A6:B6"/>
    <mergeCell ref="C6:H6"/>
    <mergeCell ref="A7:B7"/>
    <mergeCell ref="C7:H7"/>
    <mergeCell ref="A9:H9"/>
    <mergeCell ref="A10:B10"/>
    <mergeCell ref="C10:H10"/>
    <mergeCell ref="A11:B11"/>
    <mergeCell ref="C11:H11"/>
    <mergeCell ref="A12:B12"/>
    <mergeCell ref="C12:H12"/>
    <mergeCell ref="A13:B13"/>
    <mergeCell ref="C13:H13"/>
    <mergeCell ref="A14:B14"/>
    <mergeCell ref="C14:H14"/>
    <mergeCell ref="A16:H16"/>
    <mergeCell ref="A17:B17"/>
    <mergeCell ref="C17:H17"/>
    <mergeCell ref="A18:B18"/>
    <mergeCell ref="C18:H18"/>
    <mergeCell ref="A19:B19"/>
    <mergeCell ref="C19:H19"/>
    <mergeCell ref="A20:B20"/>
    <mergeCell ref="C20:H20"/>
    <mergeCell ref="A22:H22"/>
    <mergeCell ref="A23:B23"/>
    <mergeCell ref="C23:H23"/>
    <mergeCell ref="A24:B24"/>
    <mergeCell ref="C24:H24"/>
  </mergeCells>
  <printOptions horizontalCentered="1"/>
  <pageMargins left="0.3" right="0.3" top="0.45" bottom="0.55" header="0.3" footer="0.25"/>
  <pageSetup paperSize="9" fitToHeight="0" orientation="portrait"/>
  <headerFooter>
    <oddFooter>&amp;L&amp;A&amp;R 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5B7A"/>
    <pageSetUpPr autoPageBreaks="0" fitToPage="1"/>
  </sheetPr>
  <dimension ref="A1:N165"/>
  <sheetViews>
    <sheetView showGridLines="0" zoomScale="90" zoomScaleNormal="90" workbookViewId="0"/>
  </sheetViews>
  <sheetFormatPr defaultRowHeight="18" customHeight="1" outlineLevelCol="1"/>
  <cols>
    <col min="1" max="1" width="18.7109375" customWidth="1"/>
    <col min="2" max="3" width="24.7109375" customWidth="1"/>
    <col min="4" max="4" width="23.7109375" customWidth="1"/>
    <col min="5" max="5" width="20.7109375" customWidth="1"/>
    <col min="6" max="7" width="22.7109375" customWidth="1"/>
    <col min="8" max="14" width="22.7109375" hidden="1" customWidth="1" outlineLevel="1"/>
    <col min="15" max="15" width="2.7109375" customWidth="1" collapsed="1"/>
  </cols>
  <sheetData>
    <row r="1" spans="1:14" ht="29" customHeight="1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4" customHeight="1">
      <c r="A2" s="2" t="s">
        <v>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5" spans="1:14" ht="38" customHeight="1">
      <c r="A5" s="8" t="s">
        <v>34</v>
      </c>
      <c r="B5" s="8" t="s">
        <v>35</v>
      </c>
      <c r="C5" s="8" t="s">
        <v>36</v>
      </c>
      <c r="D5" s="8" t="s">
        <v>37</v>
      </c>
      <c r="E5" s="8" t="s">
        <v>38</v>
      </c>
      <c r="F5" s="8" t="s">
        <v>39</v>
      </c>
      <c r="G5" s="8" t="s">
        <v>40</v>
      </c>
      <c r="H5" s="8" t="s">
        <v>41</v>
      </c>
      <c r="I5" s="8" t="s">
        <v>42</v>
      </c>
      <c r="J5" s="8" t="s">
        <v>43</v>
      </c>
      <c r="K5" s="8" t="s">
        <v>44</v>
      </c>
      <c r="L5" s="8" t="s">
        <v>45</v>
      </c>
      <c r="M5" s="8" t="s">
        <v>46</v>
      </c>
      <c r="N5" s="8" t="s">
        <v>47</v>
      </c>
    </row>
    <row r="6" spans="1:14" ht="32" customHeight="1">
      <c r="A6" s="9" t="s">
        <v>48</v>
      </c>
      <c r="B6" s="9" t="s">
        <v>49</v>
      </c>
      <c r="C6" s="9" t="s">
        <v>50</v>
      </c>
      <c r="D6" s="6">
        <v>45661</v>
      </c>
      <c r="E6" s="10">
        <v>8434.92</v>
      </c>
      <c r="F6" s="9" t="s">
        <v>51</v>
      </c>
      <c r="G6" s="9" t="s">
        <v>52</v>
      </c>
      <c r="H6" s="9" t="s">
        <v>53</v>
      </c>
      <c r="I6" s="9" t="s">
        <v>54</v>
      </c>
      <c r="J6" s="9" t="s">
        <v>55</v>
      </c>
      <c r="K6" s="9" t="b">
        <v>1</v>
      </c>
      <c r="L6" s="9" t="s">
        <v>56</v>
      </c>
      <c r="M6" s="9" t="s">
        <v>57</v>
      </c>
      <c r="N6" s="9"/>
    </row>
    <row r="7" spans="1:14" ht="32" customHeight="1">
      <c r="A7" s="11" t="s">
        <v>58</v>
      </c>
      <c r="B7" s="11" t="s">
        <v>59</v>
      </c>
      <c r="C7" s="11" t="s">
        <v>60</v>
      </c>
      <c r="D7" s="12">
        <v>45665</v>
      </c>
      <c r="E7" s="13">
        <v>11838.74</v>
      </c>
      <c r="F7" s="11" t="s">
        <v>51</v>
      </c>
      <c r="G7" s="11" t="s">
        <v>52</v>
      </c>
      <c r="H7" s="11" t="s">
        <v>61</v>
      </c>
      <c r="I7" s="11" t="s">
        <v>54</v>
      </c>
      <c r="J7" s="11" t="s">
        <v>55</v>
      </c>
      <c r="K7" s="11" t="b">
        <v>1</v>
      </c>
      <c r="L7" s="11" t="s">
        <v>62</v>
      </c>
      <c r="M7" s="11" t="s">
        <v>57</v>
      </c>
      <c r="N7" s="11"/>
    </row>
    <row r="8" spans="1:14" ht="32" customHeight="1">
      <c r="A8" s="9" t="s">
        <v>63</v>
      </c>
      <c r="B8" s="9" t="s">
        <v>64</v>
      </c>
      <c r="C8" s="9" t="s">
        <v>65</v>
      </c>
      <c r="D8" s="6">
        <v>45669</v>
      </c>
      <c r="E8" s="10">
        <v>14545.95</v>
      </c>
      <c r="F8" s="9" t="s">
        <v>51</v>
      </c>
      <c r="G8" s="9" t="s">
        <v>52</v>
      </c>
      <c r="H8" s="9" t="s">
        <v>66</v>
      </c>
      <c r="I8" s="9" t="s">
        <v>54</v>
      </c>
      <c r="J8" s="9" t="s">
        <v>55</v>
      </c>
      <c r="K8" s="9" t="b">
        <v>1</v>
      </c>
      <c r="L8" s="9" t="s">
        <v>67</v>
      </c>
      <c r="M8" s="9" t="s">
        <v>57</v>
      </c>
      <c r="N8" s="9"/>
    </row>
    <row r="9" spans="1:14" ht="32" customHeight="1">
      <c r="A9" s="11" t="s">
        <v>68</v>
      </c>
      <c r="B9" s="11" t="s">
        <v>69</v>
      </c>
      <c r="C9" s="11" t="s">
        <v>70</v>
      </c>
      <c r="D9" s="12">
        <v>45673</v>
      </c>
      <c r="E9" s="13">
        <v>9711.120000000001</v>
      </c>
      <c r="F9" s="11" t="s">
        <v>51</v>
      </c>
      <c r="G9" s="11" t="s">
        <v>52</v>
      </c>
      <c r="H9" s="11" t="s">
        <v>71</v>
      </c>
      <c r="I9" s="11" t="s">
        <v>54</v>
      </c>
      <c r="J9" s="11" t="s">
        <v>55</v>
      </c>
      <c r="K9" s="11" t="b">
        <v>1</v>
      </c>
      <c r="L9" s="11" t="s">
        <v>72</v>
      </c>
      <c r="M9" s="11" t="s">
        <v>57</v>
      </c>
      <c r="N9" s="11"/>
    </row>
    <row r="10" spans="1:14" ht="32" customHeight="1">
      <c r="A10" s="9" t="s">
        <v>73</v>
      </c>
      <c r="B10" s="9" t="s">
        <v>74</v>
      </c>
      <c r="C10" s="9" t="s">
        <v>75</v>
      </c>
      <c r="D10" s="6">
        <v>45677</v>
      </c>
      <c r="E10" s="10">
        <v>5325.78</v>
      </c>
      <c r="F10" s="9" t="s">
        <v>51</v>
      </c>
      <c r="G10" s="9"/>
      <c r="H10" s="9" t="s">
        <v>76</v>
      </c>
      <c r="I10" s="9" t="s">
        <v>54</v>
      </c>
      <c r="J10" s="9"/>
      <c r="K10" s="9" t="b">
        <v>0</v>
      </c>
      <c r="L10" s="9" t="s">
        <v>77</v>
      </c>
      <c r="M10" s="9" t="s">
        <v>57</v>
      </c>
      <c r="N10" s="9"/>
    </row>
    <row r="11" spans="1:14" ht="32" customHeight="1">
      <c r="A11" s="11" t="s">
        <v>78</v>
      </c>
      <c r="B11" s="11" t="s">
        <v>79</v>
      </c>
      <c r="C11" s="11" t="s">
        <v>80</v>
      </c>
      <c r="D11" s="12">
        <v>45681</v>
      </c>
      <c r="E11" s="13">
        <v>10718.39</v>
      </c>
      <c r="F11" s="11" t="s">
        <v>51</v>
      </c>
      <c r="G11" s="11" t="s">
        <v>52</v>
      </c>
      <c r="H11" s="11" t="s">
        <v>81</v>
      </c>
      <c r="I11" s="11" t="s">
        <v>54</v>
      </c>
      <c r="J11" s="11" t="s">
        <v>55</v>
      </c>
      <c r="K11" s="11" t="b">
        <v>1</v>
      </c>
      <c r="L11" s="11" t="s">
        <v>82</v>
      </c>
      <c r="M11" s="11" t="s">
        <v>57</v>
      </c>
      <c r="N11" s="11"/>
    </row>
    <row r="12" spans="1:14" ht="32" customHeight="1">
      <c r="A12" s="9" t="s">
        <v>83</v>
      </c>
      <c r="B12" s="9" t="s">
        <v>84</v>
      </c>
      <c r="C12" s="9" t="s">
        <v>85</v>
      </c>
      <c r="D12" s="6">
        <v>45685</v>
      </c>
      <c r="E12" s="10">
        <v>1786.81</v>
      </c>
      <c r="F12" s="9" t="s">
        <v>51</v>
      </c>
      <c r="G12" s="9"/>
      <c r="H12" s="9" t="s">
        <v>86</v>
      </c>
      <c r="I12" s="9" t="s">
        <v>54</v>
      </c>
      <c r="J12" s="9"/>
      <c r="K12" s="9" t="b">
        <v>0</v>
      </c>
      <c r="L12" s="9" t="s">
        <v>87</v>
      </c>
      <c r="M12" s="9" t="s">
        <v>57</v>
      </c>
      <c r="N12" s="9"/>
    </row>
    <row r="13" spans="1:14" ht="32" customHeight="1">
      <c r="A13" s="11" t="s">
        <v>88</v>
      </c>
      <c r="B13" s="11" t="s">
        <v>89</v>
      </c>
      <c r="C13" s="11" t="s">
        <v>90</v>
      </c>
      <c r="D13" s="12">
        <v>45689</v>
      </c>
      <c r="E13" s="13">
        <v>6240.07</v>
      </c>
      <c r="F13" s="11" t="s">
        <v>51</v>
      </c>
      <c r="G13" s="11" t="s">
        <v>52</v>
      </c>
      <c r="H13" s="11" t="s">
        <v>91</v>
      </c>
      <c r="I13" s="11" t="s">
        <v>54</v>
      </c>
      <c r="J13" s="11" t="s">
        <v>55</v>
      </c>
      <c r="K13" s="11" t="b">
        <v>1</v>
      </c>
      <c r="L13" s="11" t="s">
        <v>92</v>
      </c>
      <c r="M13" s="11" t="s">
        <v>57</v>
      </c>
      <c r="N13" s="11"/>
    </row>
    <row r="14" spans="1:14" ht="32" customHeight="1">
      <c r="A14" s="9" t="s">
        <v>93</v>
      </c>
      <c r="B14" s="9" t="s">
        <v>94</v>
      </c>
      <c r="C14" s="9" t="s">
        <v>50</v>
      </c>
      <c r="D14" s="6">
        <v>45693</v>
      </c>
      <c r="E14" s="10">
        <v>1419.05</v>
      </c>
      <c r="F14" s="9" t="s">
        <v>51</v>
      </c>
      <c r="G14" s="9" t="s">
        <v>52</v>
      </c>
      <c r="H14" s="9" t="s">
        <v>95</v>
      </c>
      <c r="I14" s="9" t="s">
        <v>54</v>
      </c>
      <c r="J14" s="9" t="s">
        <v>55</v>
      </c>
      <c r="K14" s="9" t="b">
        <v>1</v>
      </c>
      <c r="L14" s="9" t="s">
        <v>56</v>
      </c>
      <c r="M14" s="9" t="s">
        <v>57</v>
      </c>
      <c r="N14" s="9"/>
    </row>
    <row r="15" spans="1:14" ht="32" customHeight="1">
      <c r="A15" s="11" t="s">
        <v>96</v>
      </c>
      <c r="B15" s="11" t="s">
        <v>97</v>
      </c>
      <c r="C15" s="11" t="s">
        <v>60</v>
      </c>
      <c r="D15" s="12">
        <v>45697</v>
      </c>
      <c r="E15" s="13">
        <v>6361.46</v>
      </c>
      <c r="F15" s="11" t="s">
        <v>51</v>
      </c>
      <c r="G15" s="11" t="s">
        <v>52</v>
      </c>
      <c r="H15" s="11" t="s">
        <v>98</v>
      </c>
      <c r="I15" s="11" t="s">
        <v>54</v>
      </c>
      <c r="J15" s="11" t="s">
        <v>55</v>
      </c>
      <c r="K15" s="11" t="b">
        <v>1</v>
      </c>
      <c r="L15" s="11" t="s">
        <v>62</v>
      </c>
      <c r="M15" s="11" t="s">
        <v>57</v>
      </c>
      <c r="N15" s="11"/>
    </row>
    <row r="16" spans="1:14" ht="32" customHeight="1">
      <c r="A16" s="9" t="s">
        <v>99</v>
      </c>
      <c r="B16" s="9" t="s">
        <v>100</v>
      </c>
      <c r="C16" s="9" t="s">
        <v>65</v>
      </c>
      <c r="D16" s="6">
        <v>45701</v>
      </c>
      <c r="E16" s="10">
        <v>7833.33</v>
      </c>
      <c r="F16" s="9" t="s">
        <v>51</v>
      </c>
      <c r="G16" s="9" t="s">
        <v>52</v>
      </c>
      <c r="H16" s="9" t="s">
        <v>101</v>
      </c>
      <c r="I16" s="9" t="s">
        <v>54</v>
      </c>
      <c r="J16" s="9" t="s">
        <v>55</v>
      </c>
      <c r="K16" s="9" t="b">
        <v>1</v>
      </c>
      <c r="L16" s="9" t="s">
        <v>67</v>
      </c>
      <c r="M16" s="9" t="s">
        <v>57</v>
      </c>
      <c r="N16" s="9"/>
    </row>
    <row r="17" spans="1:14" ht="32" customHeight="1">
      <c r="A17" s="11" t="s">
        <v>102</v>
      </c>
      <c r="B17" s="11" t="s">
        <v>103</v>
      </c>
      <c r="C17" s="11" t="s">
        <v>70</v>
      </c>
      <c r="D17" s="12">
        <v>45705</v>
      </c>
      <c r="E17" s="13">
        <v>11471.35</v>
      </c>
      <c r="F17" s="11" t="s">
        <v>51</v>
      </c>
      <c r="G17" s="11" t="s">
        <v>52</v>
      </c>
      <c r="H17" s="11" t="s">
        <v>104</v>
      </c>
      <c r="I17" s="11" t="s">
        <v>54</v>
      </c>
      <c r="J17" s="11" t="s">
        <v>55</v>
      </c>
      <c r="K17" s="11" t="b">
        <v>1</v>
      </c>
      <c r="L17" s="11" t="s">
        <v>72</v>
      </c>
      <c r="M17" s="11" t="s">
        <v>57</v>
      </c>
      <c r="N17" s="11"/>
    </row>
    <row r="18" spans="1:14" ht="32" customHeight="1">
      <c r="A18" s="9" t="s">
        <v>105</v>
      </c>
      <c r="B18" s="9" t="s">
        <v>106</v>
      </c>
      <c r="C18" s="9" t="s">
        <v>75</v>
      </c>
      <c r="D18" s="6">
        <v>45709</v>
      </c>
      <c r="E18" s="10">
        <v>13326.5</v>
      </c>
      <c r="F18" s="9" t="s">
        <v>51</v>
      </c>
      <c r="G18" s="9"/>
      <c r="H18" s="9" t="s">
        <v>107</v>
      </c>
      <c r="I18" s="9" t="s">
        <v>54</v>
      </c>
      <c r="J18" s="9"/>
      <c r="K18" s="9" t="b">
        <v>0</v>
      </c>
      <c r="L18" s="9" t="s">
        <v>77</v>
      </c>
      <c r="M18" s="9" t="s">
        <v>57</v>
      </c>
      <c r="N18" s="9"/>
    </row>
    <row r="19" spans="1:14" ht="32" customHeight="1">
      <c r="A19" s="11" t="s">
        <v>108</v>
      </c>
      <c r="B19" s="11" t="s">
        <v>109</v>
      </c>
      <c r="C19" s="11" t="s">
        <v>80</v>
      </c>
      <c r="D19" s="12">
        <v>45713</v>
      </c>
      <c r="E19" s="13">
        <v>8273.17</v>
      </c>
      <c r="F19" s="11" t="s">
        <v>51</v>
      </c>
      <c r="G19" s="11" t="s">
        <v>52</v>
      </c>
      <c r="H19" s="11" t="s">
        <v>110</v>
      </c>
      <c r="I19" s="11" t="s">
        <v>54</v>
      </c>
      <c r="J19" s="11" t="s">
        <v>55</v>
      </c>
      <c r="K19" s="11" t="b">
        <v>1</v>
      </c>
      <c r="L19" s="11" t="s">
        <v>82</v>
      </c>
      <c r="M19" s="11" t="s">
        <v>57</v>
      </c>
      <c r="N19" s="11"/>
    </row>
    <row r="20" spans="1:14" ht="32" customHeight="1">
      <c r="A20" s="9" t="s">
        <v>111</v>
      </c>
      <c r="B20" s="9" t="s">
        <v>112</v>
      </c>
      <c r="C20" s="9" t="s">
        <v>85</v>
      </c>
      <c r="D20" s="6">
        <v>45659</v>
      </c>
      <c r="E20" s="10">
        <v>4207.67</v>
      </c>
      <c r="F20" s="9" t="s">
        <v>51</v>
      </c>
      <c r="G20" s="9" t="s">
        <v>52</v>
      </c>
      <c r="H20" s="9" t="s">
        <v>113</v>
      </c>
      <c r="I20" s="9" t="s">
        <v>54</v>
      </c>
      <c r="J20" s="9" t="s">
        <v>55</v>
      </c>
      <c r="K20" s="9" t="b">
        <v>1</v>
      </c>
      <c r="L20" s="9" t="s">
        <v>87</v>
      </c>
      <c r="M20" s="9" t="s">
        <v>57</v>
      </c>
      <c r="N20" s="9"/>
    </row>
    <row r="21" spans="1:14" ht="32" customHeight="1">
      <c r="A21" s="11" t="s">
        <v>114</v>
      </c>
      <c r="B21" s="11" t="s">
        <v>115</v>
      </c>
      <c r="C21" s="11" t="s">
        <v>90</v>
      </c>
      <c r="D21" s="12">
        <v>45663</v>
      </c>
      <c r="E21" s="13">
        <v>5411.08</v>
      </c>
      <c r="F21" s="11" t="s">
        <v>51</v>
      </c>
      <c r="G21" s="11" t="s">
        <v>52</v>
      </c>
      <c r="H21" s="11" t="s">
        <v>116</v>
      </c>
      <c r="I21" s="11" t="s">
        <v>54</v>
      </c>
      <c r="J21" s="11" t="s">
        <v>55</v>
      </c>
      <c r="K21" s="11" t="b">
        <v>1</v>
      </c>
      <c r="L21" s="11" t="s">
        <v>92</v>
      </c>
      <c r="M21" s="11" t="s">
        <v>57</v>
      </c>
      <c r="N21" s="11"/>
    </row>
    <row r="22" spans="1:14" ht="32" customHeight="1">
      <c r="A22" s="9" t="s">
        <v>117</v>
      </c>
      <c r="B22" s="9" t="s">
        <v>118</v>
      </c>
      <c r="C22" s="9" t="s">
        <v>50</v>
      </c>
      <c r="D22" s="6">
        <v>45667</v>
      </c>
      <c r="E22" s="10">
        <v>5849.49</v>
      </c>
      <c r="F22" s="9" t="s">
        <v>51</v>
      </c>
      <c r="G22" s="9"/>
      <c r="H22" s="9" t="s">
        <v>119</v>
      </c>
      <c r="I22" s="9" t="s">
        <v>54</v>
      </c>
      <c r="J22" s="9"/>
      <c r="K22" s="9" t="b">
        <v>0</v>
      </c>
      <c r="L22" s="9" t="s">
        <v>56</v>
      </c>
      <c r="M22" s="9" t="s">
        <v>57</v>
      </c>
      <c r="N22" s="9"/>
    </row>
    <row r="23" spans="1:14" ht="32" customHeight="1">
      <c r="A23" s="11" t="s">
        <v>120</v>
      </c>
      <c r="B23" s="11" t="s">
        <v>121</v>
      </c>
      <c r="C23" s="11" t="s">
        <v>60</v>
      </c>
      <c r="D23" s="12">
        <v>45671</v>
      </c>
      <c r="E23" s="13">
        <v>14637.56</v>
      </c>
      <c r="F23" s="11" t="s">
        <v>51</v>
      </c>
      <c r="G23" s="11"/>
      <c r="H23" s="11" t="s">
        <v>122</v>
      </c>
      <c r="I23" s="11" t="s">
        <v>54</v>
      </c>
      <c r="J23" s="11"/>
      <c r="K23" s="11" t="b">
        <v>0</v>
      </c>
      <c r="L23" s="11" t="s">
        <v>62</v>
      </c>
      <c r="M23" s="11" t="s">
        <v>57</v>
      </c>
      <c r="N23" s="11"/>
    </row>
    <row r="24" spans="1:14" ht="32" customHeight="1">
      <c r="A24" s="9" t="s">
        <v>123</v>
      </c>
      <c r="B24" s="9" t="s">
        <v>124</v>
      </c>
      <c r="C24" s="9" t="s">
        <v>65</v>
      </c>
      <c r="D24" s="6">
        <v>45675</v>
      </c>
      <c r="E24" s="10">
        <v>4653.68</v>
      </c>
      <c r="F24" s="9" t="s">
        <v>51</v>
      </c>
      <c r="G24" s="9" t="s">
        <v>52</v>
      </c>
      <c r="H24" s="9" t="s">
        <v>125</v>
      </c>
      <c r="I24" s="9" t="s">
        <v>54</v>
      </c>
      <c r="J24" s="9" t="s">
        <v>55</v>
      </c>
      <c r="K24" s="9" t="b">
        <v>1</v>
      </c>
      <c r="L24" s="9" t="s">
        <v>67</v>
      </c>
      <c r="M24" s="9" t="s">
        <v>57</v>
      </c>
      <c r="N24" s="9"/>
    </row>
    <row r="25" spans="1:14" ht="32" customHeight="1">
      <c r="A25" s="11" t="s">
        <v>126</v>
      </c>
      <c r="B25" s="11" t="s">
        <v>127</v>
      </c>
      <c r="C25" s="11" t="s">
        <v>70</v>
      </c>
      <c r="D25" s="12">
        <v>45679</v>
      </c>
      <c r="E25" s="13">
        <v>13874.05</v>
      </c>
      <c r="F25" s="11" t="s">
        <v>51</v>
      </c>
      <c r="G25" s="11" t="s">
        <v>52</v>
      </c>
      <c r="H25" s="11" t="s">
        <v>128</v>
      </c>
      <c r="I25" s="11" t="s">
        <v>54</v>
      </c>
      <c r="J25" s="11" t="s">
        <v>55</v>
      </c>
      <c r="K25" s="11" t="b">
        <v>1</v>
      </c>
      <c r="L25" s="11" t="s">
        <v>72</v>
      </c>
      <c r="M25" s="11" t="s">
        <v>57</v>
      </c>
      <c r="N25" s="11"/>
    </row>
    <row r="26" spans="1:14" ht="32" customHeight="1">
      <c r="A26" s="9" t="s">
        <v>129</v>
      </c>
      <c r="B26" s="9" t="s">
        <v>130</v>
      </c>
      <c r="C26" s="9" t="s">
        <v>75</v>
      </c>
      <c r="D26" s="6">
        <v>45683</v>
      </c>
      <c r="E26" s="10">
        <v>10644.73</v>
      </c>
      <c r="F26" s="9" t="s">
        <v>51</v>
      </c>
      <c r="G26" s="9" t="s">
        <v>52</v>
      </c>
      <c r="H26" s="9" t="s">
        <v>131</v>
      </c>
      <c r="I26" s="9" t="s">
        <v>54</v>
      </c>
      <c r="J26" s="9" t="s">
        <v>55</v>
      </c>
      <c r="K26" s="9" t="b">
        <v>1</v>
      </c>
      <c r="L26" s="9" t="s">
        <v>77</v>
      </c>
      <c r="M26" s="9" t="s">
        <v>57</v>
      </c>
      <c r="N26" s="9"/>
    </row>
    <row r="27" spans="1:14" ht="32" customHeight="1">
      <c r="A27" s="11" t="s">
        <v>132</v>
      </c>
      <c r="B27" s="11" t="s">
        <v>133</v>
      </c>
      <c r="C27" s="11" t="s">
        <v>80</v>
      </c>
      <c r="D27" s="12">
        <v>45687</v>
      </c>
      <c r="E27" s="13">
        <v>2541.21</v>
      </c>
      <c r="F27" s="11" t="s">
        <v>51</v>
      </c>
      <c r="G27" s="11" t="s">
        <v>52</v>
      </c>
      <c r="H27" s="11" t="s">
        <v>134</v>
      </c>
      <c r="I27" s="11" t="s">
        <v>54</v>
      </c>
      <c r="J27" s="11" t="s">
        <v>55</v>
      </c>
      <c r="K27" s="11" t="b">
        <v>1</v>
      </c>
      <c r="L27" s="11" t="s">
        <v>82</v>
      </c>
      <c r="M27" s="11" t="s">
        <v>57</v>
      </c>
      <c r="N27" s="11"/>
    </row>
    <row r="28" spans="1:14" ht="32" customHeight="1">
      <c r="A28" s="9" t="s">
        <v>135</v>
      </c>
      <c r="B28" s="9" t="s">
        <v>136</v>
      </c>
      <c r="C28" s="9" t="s">
        <v>85</v>
      </c>
      <c r="D28" s="6">
        <v>45691</v>
      </c>
      <c r="E28" s="10">
        <v>6230.85</v>
      </c>
      <c r="F28" s="9" t="s">
        <v>51</v>
      </c>
      <c r="G28" s="9"/>
      <c r="H28" s="9" t="s">
        <v>137</v>
      </c>
      <c r="I28" s="9" t="s">
        <v>54</v>
      </c>
      <c r="J28" s="9"/>
      <c r="K28" s="9" t="b">
        <v>0</v>
      </c>
      <c r="L28" s="9" t="s">
        <v>87</v>
      </c>
      <c r="M28" s="9" t="s">
        <v>57</v>
      </c>
      <c r="N28" s="9"/>
    </row>
    <row r="29" spans="1:14" ht="32" customHeight="1">
      <c r="A29" s="11" t="s">
        <v>138</v>
      </c>
      <c r="B29" s="11" t="s">
        <v>139</v>
      </c>
      <c r="C29" s="11" t="s">
        <v>90</v>
      </c>
      <c r="D29" s="12">
        <v>45695</v>
      </c>
      <c r="E29" s="13">
        <v>9260.440000000001</v>
      </c>
      <c r="F29" s="11" t="s">
        <v>51</v>
      </c>
      <c r="G29" s="11" t="s">
        <v>52</v>
      </c>
      <c r="H29" s="11" t="s">
        <v>140</v>
      </c>
      <c r="I29" s="11" t="s">
        <v>54</v>
      </c>
      <c r="J29" s="11" t="s">
        <v>55</v>
      </c>
      <c r="K29" s="11" t="b">
        <v>1</v>
      </c>
      <c r="L29" s="11" t="s">
        <v>92</v>
      </c>
      <c r="M29" s="11" t="s">
        <v>57</v>
      </c>
      <c r="N29" s="11"/>
    </row>
    <row r="30" spans="1:14" ht="32" customHeight="1">
      <c r="A30" s="9" t="s">
        <v>141</v>
      </c>
      <c r="B30" s="9" t="s">
        <v>49</v>
      </c>
      <c r="C30" s="9" t="s">
        <v>50</v>
      </c>
      <c r="D30" s="6">
        <v>45699</v>
      </c>
      <c r="E30" s="10">
        <v>9596.370000000001</v>
      </c>
      <c r="F30" s="9" t="s">
        <v>51</v>
      </c>
      <c r="G30" s="9" t="s">
        <v>52</v>
      </c>
      <c r="H30" s="9" t="s">
        <v>142</v>
      </c>
      <c r="I30" s="9" t="s">
        <v>54</v>
      </c>
      <c r="J30" s="9" t="s">
        <v>55</v>
      </c>
      <c r="K30" s="9" t="b">
        <v>1</v>
      </c>
      <c r="L30" s="9" t="s">
        <v>56</v>
      </c>
      <c r="M30" s="9" t="s">
        <v>57</v>
      </c>
      <c r="N30" s="9"/>
    </row>
    <row r="31" spans="1:14" ht="32" customHeight="1">
      <c r="A31" s="11" t="s">
        <v>143</v>
      </c>
      <c r="B31" s="11" t="s">
        <v>59</v>
      </c>
      <c r="C31" s="11" t="s">
        <v>60</v>
      </c>
      <c r="D31" s="12">
        <v>45703</v>
      </c>
      <c r="E31" s="13">
        <v>14253.05</v>
      </c>
      <c r="F31" s="11" t="s">
        <v>51</v>
      </c>
      <c r="G31" s="11" t="s">
        <v>52</v>
      </c>
      <c r="H31" s="11" t="s">
        <v>144</v>
      </c>
      <c r="I31" s="11" t="s">
        <v>54</v>
      </c>
      <c r="J31" s="11" t="s">
        <v>55</v>
      </c>
      <c r="K31" s="11" t="b">
        <v>1</v>
      </c>
      <c r="L31" s="11" t="s">
        <v>62</v>
      </c>
      <c r="M31" s="11" t="s">
        <v>57</v>
      </c>
      <c r="N31" s="11"/>
    </row>
    <row r="32" spans="1:14" ht="32" customHeight="1">
      <c r="A32" s="9" t="s">
        <v>145</v>
      </c>
      <c r="B32" s="9" t="s">
        <v>64</v>
      </c>
      <c r="C32" s="9" t="s">
        <v>65</v>
      </c>
      <c r="D32" s="6">
        <v>45707</v>
      </c>
      <c r="E32" s="10">
        <v>5314.47</v>
      </c>
      <c r="F32" s="9" t="s">
        <v>51</v>
      </c>
      <c r="G32" s="9"/>
      <c r="H32" s="9" t="s">
        <v>146</v>
      </c>
      <c r="I32" s="9" t="s">
        <v>54</v>
      </c>
      <c r="J32" s="9"/>
      <c r="K32" s="9" t="b">
        <v>0</v>
      </c>
      <c r="L32" s="9" t="s">
        <v>67</v>
      </c>
      <c r="M32" s="9" t="s">
        <v>57</v>
      </c>
      <c r="N32" s="9"/>
    </row>
    <row r="33" spans="1:14" ht="32" customHeight="1">
      <c r="A33" s="11" t="s">
        <v>147</v>
      </c>
      <c r="B33" s="11" t="s">
        <v>69</v>
      </c>
      <c r="C33" s="11" t="s">
        <v>70</v>
      </c>
      <c r="D33" s="12">
        <v>45711</v>
      </c>
      <c r="E33" s="13">
        <v>6088.85</v>
      </c>
      <c r="F33" s="11" t="s">
        <v>51</v>
      </c>
      <c r="G33" s="11" t="s">
        <v>52</v>
      </c>
      <c r="H33" s="11" t="s">
        <v>148</v>
      </c>
      <c r="I33" s="11" t="s">
        <v>54</v>
      </c>
      <c r="J33" s="11" t="s">
        <v>55</v>
      </c>
      <c r="K33" s="11" t="b">
        <v>1</v>
      </c>
      <c r="L33" s="11" t="s">
        <v>72</v>
      </c>
      <c r="M33" s="11" t="s">
        <v>57</v>
      </c>
      <c r="N33" s="11"/>
    </row>
    <row r="34" spans="1:14" ht="32" customHeight="1">
      <c r="A34" s="9" t="s">
        <v>149</v>
      </c>
      <c r="B34" s="9" t="s">
        <v>74</v>
      </c>
      <c r="C34" s="9" t="s">
        <v>75</v>
      </c>
      <c r="D34" s="6">
        <v>45715</v>
      </c>
      <c r="E34" s="10">
        <v>5894.36</v>
      </c>
      <c r="F34" s="9" t="s">
        <v>51</v>
      </c>
      <c r="G34" s="9" t="s">
        <v>52</v>
      </c>
      <c r="H34" s="9" t="s">
        <v>150</v>
      </c>
      <c r="I34" s="9" t="s">
        <v>54</v>
      </c>
      <c r="J34" s="9" t="s">
        <v>55</v>
      </c>
      <c r="K34" s="9" t="b">
        <v>1</v>
      </c>
      <c r="L34" s="9" t="s">
        <v>77</v>
      </c>
      <c r="M34" s="9" t="s">
        <v>57</v>
      </c>
      <c r="N34" s="9"/>
    </row>
    <row r="35" spans="1:14" ht="32" customHeight="1">
      <c r="A35" s="11" t="s">
        <v>151</v>
      </c>
      <c r="B35" s="11" t="s">
        <v>79</v>
      </c>
      <c r="C35" s="11" t="s">
        <v>80</v>
      </c>
      <c r="D35" s="12">
        <v>45661</v>
      </c>
      <c r="E35" s="13">
        <v>1160.53</v>
      </c>
      <c r="F35" s="11" t="s">
        <v>51</v>
      </c>
      <c r="G35" s="11"/>
      <c r="H35" s="11" t="s">
        <v>152</v>
      </c>
      <c r="I35" s="11" t="s">
        <v>54</v>
      </c>
      <c r="J35" s="11"/>
      <c r="K35" s="11" t="b">
        <v>0</v>
      </c>
      <c r="L35" s="11" t="s">
        <v>82</v>
      </c>
      <c r="M35" s="11" t="s">
        <v>57</v>
      </c>
      <c r="N35" s="11"/>
    </row>
    <row r="36" spans="1:14" ht="32" customHeight="1">
      <c r="A36" s="9" t="s">
        <v>153</v>
      </c>
      <c r="B36" s="9" t="s">
        <v>84</v>
      </c>
      <c r="C36" s="9" t="s">
        <v>85</v>
      </c>
      <c r="D36" s="6">
        <v>45665</v>
      </c>
      <c r="E36" s="10">
        <v>3902.12</v>
      </c>
      <c r="F36" s="9" t="s">
        <v>51</v>
      </c>
      <c r="G36" s="9" t="s">
        <v>52</v>
      </c>
      <c r="H36" s="9" t="s">
        <v>154</v>
      </c>
      <c r="I36" s="9" t="s">
        <v>54</v>
      </c>
      <c r="J36" s="9" t="s">
        <v>55</v>
      </c>
      <c r="K36" s="9" t="b">
        <v>1</v>
      </c>
      <c r="L36" s="9" t="s">
        <v>87</v>
      </c>
      <c r="M36" s="9" t="s">
        <v>57</v>
      </c>
      <c r="N36" s="9"/>
    </row>
    <row r="37" spans="1:14" ht="32" customHeight="1">
      <c r="A37" s="11" t="s">
        <v>155</v>
      </c>
      <c r="B37" s="11" t="s">
        <v>89</v>
      </c>
      <c r="C37" s="11" t="s">
        <v>90</v>
      </c>
      <c r="D37" s="12">
        <v>45669</v>
      </c>
      <c r="E37" s="13">
        <v>12885.55</v>
      </c>
      <c r="F37" s="11" t="s">
        <v>51</v>
      </c>
      <c r="G37" s="11" t="s">
        <v>52</v>
      </c>
      <c r="H37" s="11" t="s">
        <v>156</v>
      </c>
      <c r="I37" s="11" t="s">
        <v>54</v>
      </c>
      <c r="J37" s="11" t="s">
        <v>55</v>
      </c>
      <c r="K37" s="11" t="b">
        <v>1</v>
      </c>
      <c r="L37" s="11" t="s">
        <v>92</v>
      </c>
      <c r="M37" s="11" t="s">
        <v>57</v>
      </c>
      <c r="N37" s="11"/>
    </row>
    <row r="38" spans="1:14" ht="32" customHeight="1">
      <c r="A38" s="9" t="s">
        <v>157</v>
      </c>
      <c r="B38" s="9" t="s">
        <v>94</v>
      </c>
      <c r="C38" s="9" t="s">
        <v>50</v>
      </c>
      <c r="D38" s="6">
        <v>45673</v>
      </c>
      <c r="E38" s="10">
        <v>14918.97</v>
      </c>
      <c r="F38" s="9" t="s">
        <v>51</v>
      </c>
      <c r="G38" s="9" t="s">
        <v>52</v>
      </c>
      <c r="H38" s="9" t="s">
        <v>158</v>
      </c>
      <c r="I38" s="9" t="s">
        <v>54</v>
      </c>
      <c r="J38" s="9" t="s">
        <v>55</v>
      </c>
      <c r="K38" s="9" t="b">
        <v>1</v>
      </c>
      <c r="L38" s="9" t="s">
        <v>56</v>
      </c>
      <c r="M38" s="9" t="s">
        <v>57</v>
      </c>
      <c r="N38" s="9"/>
    </row>
    <row r="39" spans="1:14" ht="32" customHeight="1">
      <c r="A39" s="11" t="s">
        <v>159</v>
      </c>
      <c r="B39" s="11" t="s">
        <v>97</v>
      </c>
      <c r="C39" s="11" t="s">
        <v>60</v>
      </c>
      <c r="D39" s="12">
        <v>45677</v>
      </c>
      <c r="E39" s="13">
        <v>3461.99</v>
      </c>
      <c r="F39" s="11" t="s">
        <v>51</v>
      </c>
      <c r="G39" s="11" t="s">
        <v>52</v>
      </c>
      <c r="H39" s="11" t="s">
        <v>160</v>
      </c>
      <c r="I39" s="11" t="s">
        <v>54</v>
      </c>
      <c r="J39" s="11" t="s">
        <v>55</v>
      </c>
      <c r="K39" s="11" t="b">
        <v>1</v>
      </c>
      <c r="L39" s="11" t="s">
        <v>62</v>
      </c>
      <c r="M39" s="11" t="s">
        <v>57</v>
      </c>
      <c r="N39" s="11"/>
    </row>
    <row r="40" spans="1:14" ht="32" customHeight="1">
      <c r="A40" s="9" t="s">
        <v>161</v>
      </c>
      <c r="B40" s="9" t="s">
        <v>100</v>
      </c>
      <c r="C40" s="9" t="s">
        <v>65</v>
      </c>
      <c r="D40" s="6">
        <v>45681</v>
      </c>
      <c r="E40" s="10">
        <v>6226.34</v>
      </c>
      <c r="F40" s="9" t="s">
        <v>51</v>
      </c>
      <c r="G40" s="9"/>
      <c r="H40" s="9" t="s">
        <v>162</v>
      </c>
      <c r="I40" s="9" t="s">
        <v>54</v>
      </c>
      <c r="J40" s="9"/>
      <c r="K40" s="9" t="b">
        <v>0</v>
      </c>
      <c r="L40" s="9" t="s">
        <v>67</v>
      </c>
      <c r="M40" s="9" t="s">
        <v>57</v>
      </c>
      <c r="N40" s="9"/>
    </row>
    <row r="41" spans="1:14" ht="32" customHeight="1">
      <c r="A41" s="11" t="s">
        <v>163</v>
      </c>
      <c r="B41" s="11" t="s">
        <v>103</v>
      </c>
      <c r="C41" s="11" t="s">
        <v>70</v>
      </c>
      <c r="D41" s="12">
        <v>45685</v>
      </c>
      <c r="E41" s="13">
        <v>9629.99</v>
      </c>
      <c r="F41" s="11" t="s">
        <v>51</v>
      </c>
      <c r="G41" s="11"/>
      <c r="H41" s="11" t="s">
        <v>164</v>
      </c>
      <c r="I41" s="11" t="s">
        <v>54</v>
      </c>
      <c r="J41" s="11"/>
      <c r="K41" s="11" t="b">
        <v>0</v>
      </c>
      <c r="L41" s="11" t="s">
        <v>72</v>
      </c>
      <c r="M41" s="11" t="s">
        <v>57</v>
      </c>
      <c r="N41" s="11"/>
    </row>
    <row r="42" spans="1:14" ht="32" customHeight="1">
      <c r="A42" s="9" t="s">
        <v>165</v>
      </c>
      <c r="B42" s="9" t="s">
        <v>106</v>
      </c>
      <c r="C42" s="9" t="s">
        <v>75</v>
      </c>
      <c r="D42" s="6">
        <v>45689</v>
      </c>
      <c r="E42" s="10">
        <v>3131.62</v>
      </c>
      <c r="F42" s="9" t="s">
        <v>51</v>
      </c>
      <c r="G42" s="9" t="s">
        <v>52</v>
      </c>
      <c r="H42" s="9" t="s">
        <v>166</v>
      </c>
      <c r="I42" s="9" t="s">
        <v>54</v>
      </c>
      <c r="J42" s="9" t="s">
        <v>55</v>
      </c>
      <c r="K42" s="9" t="b">
        <v>1</v>
      </c>
      <c r="L42" s="9" t="s">
        <v>77</v>
      </c>
      <c r="M42" s="9" t="s">
        <v>57</v>
      </c>
      <c r="N42" s="9"/>
    </row>
    <row r="43" spans="1:14" ht="32" customHeight="1">
      <c r="A43" s="11" t="s">
        <v>167</v>
      </c>
      <c r="B43" s="11" t="s">
        <v>109</v>
      </c>
      <c r="C43" s="11" t="s">
        <v>80</v>
      </c>
      <c r="D43" s="12">
        <v>45693</v>
      </c>
      <c r="E43" s="13">
        <v>2915.31</v>
      </c>
      <c r="F43" s="11" t="s">
        <v>51</v>
      </c>
      <c r="G43" s="11" t="s">
        <v>52</v>
      </c>
      <c r="H43" s="11" t="s">
        <v>168</v>
      </c>
      <c r="I43" s="11" t="s">
        <v>54</v>
      </c>
      <c r="J43" s="11" t="s">
        <v>55</v>
      </c>
      <c r="K43" s="11" t="b">
        <v>1</v>
      </c>
      <c r="L43" s="11" t="s">
        <v>82</v>
      </c>
      <c r="M43" s="11" t="s">
        <v>57</v>
      </c>
      <c r="N43" s="11"/>
    </row>
    <row r="44" spans="1:14" ht="32" customHeight="1">
      <c r="A44" s="9" t="s">
        <v>169</v>
      </c>
      <c r="B44" s="9" t="s">
        <v>112</v>
      </c>
      <c r="C44" s="9" t="s">
        <v>85</v>
      </c>
      <c r="D44" s="6">
        <v>45697</v>
      </c>
      <c r="E44" s="10">
        <v>5673.6</v>
      </c>
      <c r="F44" s="9" t="s">
        <v>51</v>
      </c>
      <c r="G44" s="9" t="s">
        <v>52</v>
      </c>
      <c r="H44" s="9" t="s">
        <v>170</v>
      </c>
      <c r="I44" s="9" t="s">
        <v>54</v>
      </c>
      <c r="J44" s="9" t="s">
        <v>55</v>
      </c>
      <c r="K44" s="9" t="b">
        <v>1</v>
      </c>
      <c r="L44" s="9" t="s">
        <v>87</v>
      </c>
      <c r="M44" s="9" t="s">
        <v>57</v>
      </c>
      <c r="N44" s="9"/>
    </row>
    <row r="45" spans="1:14" ht="32" customHeight="1">
      <c r="A45" s="11" t="s">
        <v>171</v>
      </c>
      <c r="B45" s="11" t="s">
        <v>115</v>
      </c>
      <c r="C45" s="11" t="s">
        <v>90</v>
      </c>
      <c r="D45" s="12">
        <v>45701</v>
      </c>
      <c r="E45" s="13">
        <v>7156.57</v>
      </c>
      <c r="F45" s="11" t="s">
        <v>51</v>
      </c>
      <c r="G45" s="11" t="s">
        <v>52</v>
      </c>
      <c r="H45" s="11" t="s">
        <v>172</v>
      </c>
      <c r="I45" s="11" t="s">
        <v>54</v>
      </c>
      <c r="J45" s="11" t="s">
        <v>55</v>
      </c>
      <c r="K45" s="11" t="b">
        <v>1</v>
      </c>
      <c r="L45" s="11" t="s">
        <v>92</v>
      </c>
      <c r="M45" s="11" t="s">
        <v>57</v>
      </c>
      <c r="N45" s="11"/>
    </row>
    <row r="46" spans="1:14" ht="32" customHeight="1">
      <c r="A46" s="9" t="s">
        <v>173</v>
      </c>
      <c r="B46" s="9" t="s">
        <v>118</v>
      </c>
      <c r="C46" s="9" t="s">
        <v>50</v>
      </c>
      <c r="D46" s="6">
        <v>45705</v>
      </c>
      <c r="E46" s="10">
        <v>14671.96</v>
      </c>
      <c r="F46" s="9" t="s">
        <v>51</v>
      </c>
      <c r="G46" s="9" t="s">
        <v>52</v>
      </c>
      <c r="H46" s="9" t="s">
        <v>174</v>
      </c>
      <c r="I46" s="9" t="s">
        <v>54</v>
      </c>
      <c r="J46" s="9" t="s">
        <v>55</v>
      </c>
      <c r="K46" s="9" t="b">
        <v>1</v>
      </c>
      <c r="L46" s="9" t="s">
        <v>56</v>
      </c>
      <c r="M46" s="9" t="s">
        <v>57</v>
      </c>
      <c r="N46" s="9"/>
    </row>
    <row r="47" spans="1:14" ht="32" customHeight="1">
      <c r="A47" s="11" t="s">
        <v>175</v>
      </c>
      <c r="B47" s="11" t="s">
        <v>121</v>
      </c>
      <c r="C47" s="11" t="s">
        <v>60</v>
      </c>
      <c r="D47" s="12">
        <v>45709</v>
      </c>
      <c r="E47" s="13">
        <v>12642.76</v>
      </c>
      <c r="F47" s="11" t="s">
        <v>51</v>
      </c>
      <c r="G47" s="11" t="s">
        <v>52</v>
      </c>
      <c r="H47" s="11" t="s">
        <v>176</v>
      </c>
      <c r="I47" s="11" t="s">
        <v>54</v>
      </c>
      <c r="J47" s="11" t="s">
        <v>55</v>
      </c>
      <c r="K47" s="11" t="b">
        <v>1</v>
      </c>
      <c r="L47" s="11" t="s">
        <v>62</v>
      </c>
      <c r="M47" s="11" t="s">
        <v>57</v>
      </c>
      <c r="N47" s="11"/>
    </row>
    <row r="48" spans="1:14" ht="32" customHeight="1">
      <c r="A48" s="9" t="s">
        <v>177</v>
      </c>
      <c r="B48" s="9" t="s">
        <v>124</v>
      </c>
      <c r="C48" s="9" t="s">
        <v>65</v>
      </c>
      <c r="D48" s="6">
        <v>45713</v>
      </c>
      <c r="E48" s="10">
        <v>4309.46</v>
      </c>
      <c r="F48" s="9" t="s">
        <v>51</v>
      </c>
      <c r="G48" s="9" t="s">
        <v>52</v>
      </c>
      <c r="H48" s="9" t="s">
        <v>178</v>
      </c>
      <c r="I48" s="9" t="s">
        <v>54</v>
      </c>
      <c r="J48" s="9" t="s">
        <v>55</v>
      </c>
      <c r="K48" s="9" t="b">
        <v>1</v>
      </c>
      <c r="L48" s="9" t="s">
        <v>67</v>
      </c>
      <c r="M48" s="9" t="s">
        <v>57</v>
      </c>
      <c r="N48" s="9"/>
    </row>
    <row r="49" spans="1:14" ht="32" customHeight="1">
      <c r="A49" s="11" t="s">
        <v>179</v>
      </c>
      <c r="B49" s="11" t="s">
        <v>127</v>
      </c>
      <c r="C49" s="11" t="s">
        <v>70</v>
      </c>
      <c r="D49" s="12">
        <v>45659</v>
      </c>
      <c r="E49" s="13">
        <v>5212.6</v>
      </c>
      <c r="F49" s="11" t="s">
        <v>51</v>
      </c>
      <c r="G49" s="11"/>
      <c r="H49" s="11" t="s">
        <v>180</v>
      </c>
      <c r="I49" s="11" t="s">
        <v>54</v>
      </c>
      <c r="J49" s="11"/>
      <c r="K49" s="11" t="b">
        <v>0</v>
      </c>
      <c r="L49" s="11" t="s">
        <v>72</v>
      </c>
      <c r="M49" s="11" t="s">
        <v>57</v>
      </c>
      <c r="N49" s="11"/>
    </row>
    <row r="50" spans="1:14" ht="32" customHeight="1">
      <c r="A50" s="9" t="s">
        <v>181</v>
      </c>
      <c r="B50" s="9" t="s">
        <v>130</v>
      </c>
      <c r="C50" s="9" t="s">
        <v>75</v>
      </c>
      <c r="D50" s="6">
        <v>45663</v>
      </c>
      <c r="E50" s="10">
        <v>6261.22</v>
      </c>
      <c r="F50" s="9" t="s">
        <v>51</v>
      </c>
      <c r="G50" s="9" t="s">
        <v>52</v>
      </c>
      <c r="H50" s="9" t="s">
        <v>182</v>
      </c>
      <c r="I50" s="9" t="s">
        <v>54</v>
      </c>
      <c r="J50" s="9" t="s">
        <v>55</v>
      </c>
      <c r="K50" s="9" t="b">
        <v>1</v>
      </c>
      <c r="L50" s="9" t="s">
        <v>77</v>
      </c>
      <c r="M50" s="9" t="s">
        <v>57</v>
      </c>
      <c r="N50" s="9"/>
    </row>
    <row r="51" spans="1:14" ht="32" customHeight="1">
      <c r="A51" s="11" t="s">
        <v>183</v>
      </c>
      <c r="B51" s="11" t="s">
        <v>133</v>
      </c>
      <c r="C51" s="11" t="s">
        <v>80</v>
      </c>
      <c r="D51" s="12">
        <v>45680</v>
      </c>
      <c r="E51" s="13">
        <v>9192.190000000001</v>
      </c>
      <c r="F51" s="11" t="s">
        <v>184</v>
      </c>
      <c r="G51" s="11" t="s">
        <v>52</v>
      </c>
      <c r="H51" s="11" t="s">
        <v>185</v>
      </c>
      <c r="I51" s="11" t="s">
        <v>186</v>
      </c>
      <c r="J51" s="11" t="s">
        <v>55</v>
      </c>
      <c r="K51" s="11" t="b">
        <v>1</v>
      </c>
      <c r="L51" s="11" t="s">
        <v>82</v>
      </c>
      <c r="M51" s="11" t="s">
        <v>57</v>
      </c>
      <c r="N51" s="11"/>
    </row>
    <row r="52" spans="1:14" ht="32" customHeight="1">
      <c r="A52" s="9" t="s">
        <v>187</v>
      </c>
      <c r="B52" s="9" t="s">
        <v>136</v>
      </c>
      <c r="C52" s="9" t="s">
        <v>85</v>
      </c>
      <c r="D52" s="6">
        <v>45684</v>
      </c>
      <c r="E52" s="10">
        <v>8610.030000000001</v>
      </c>
      <c r="F52" s="9" t="s">
        <v>184</v>
      </c>
      <c r="G52" s="9" t="s">
        <v>52</v>
      </c>
      <c r="H52" s="9" t="s">
        <v>188</v>
      </c>
      <c r="I52" s="9" t="s">
        <v>186</v>
      </c>
      <c r="J52" s="9" t="s">
        <v>55</v>
      </c>
      <c r="K52" s="9" t="b">
        <v>1</v>
      </c>
      <c r="L52" s="9" t="s">
        <v>87</v>
      </c>
      <c r="M52" s="9" t="s">
        <v>57</v>
      </c>
      <c r="N52" s="9"/>
    </row>
    <row r="53" spans="1:14" ht="32" customHeight="1">
      <c r="A53" s="11" t="s">
        <v>189</v>
      </c>
      <c r="B53" s="11" t="s">
        <v>139</v>
      </c>
      <c r="C53" s="11" t="s">
        <v>90</v>
      </c>
      <c r="D53" s="12">
        <v>45688</v>
      </c>
      <c r="E53" s="13">
        <v>4272.65</v>
      </c>
      <c r="F53" s="11" t="s">
        <v>184</v>
      </c>
      <c r="G53" s="11" t="s">
        <v>52</v>
      </c>
      <c r="H53" s="11" t="s">
        <v>190</v>
      </c>
      <c r="I53" s="11" t="s">
        <v>186</v>
      </c>
      <c r="J53" s="11" t="s">
        <v>55</v>
      </c>
      <c r="K53" s="11" t="b">
        <v>1</v>
      </c>
      <c r="L53" s="11" t="s">
        <v>92</v>
      </c>
      <c r="M53" s="11" t="s">
        <v>57</v>
      </c>
      <c r="N53" s="11"/>
    </row>
    <row r="54" spans="1:14" ht="32" customHeight="1">
      <c r="A54" s="9" t="s">
        <v>191</v>
      </c>
      <c r="B54" s="9" t="s">
        <v>49</v>
      </c>
      <c r="C54" s="9" t="s">
        <v>50</v>
      </c>
      <c r="D54" s="6">
        <v>45692</v>
      </c>
      <c r="E54" s="10">
        <v>10811.71</v>
      </c>
      <c r="F54" s="9" t="s">
        <v>184</v>
      </c>
      <c r="G54" s="9" t="s">
        <v>52</v>
      </c>
      <c r="H54" s="9" t="s">
        <v>192</v>
      </c>
      <c r="I54" s="9" t="s">
        <v>186</v>
      </c>
      <c r="J54" s="9" t="s">
        <v>55</v>
      </c>
      <c r="K54" s="9" t="b">
        <v>1</v>
      </c>
      <c r="L54" s="9" t="s">
        <v>56</v>
      </c>
      <c r="M54" s="9" t="s">
        <v>57</v>
      </c>
      <c r="N54" s="9"/>
    </row>
    <row r="55" spans="1:14" ht="32" customHeight="1">
      <c r="A55" s="11" t="s">
        <v>193</v>
      </c>
      <c r="B55" s="11" t="s">
        <v>59</v>
      </c>
      <c r="C55" s="11" t="s">
        <v>60</v>
      </c>
      <c r="D55" s="12">
        <v>45696</v>
      </c>
      <c r="E55" s="13">
        <v>2954.32</v>
      </c>
      <c r="F55" s="11" t="s">
        <v>184</v>
      </c>
      <c r="G55" s="11" t="s">
        <v>52</v>
      </c>
      <c r="H55" s="11" t="s">
        <v>194</v>
      </c>
      <c r="I55" s="11" t="s">
        <v>186</v>
      </c>
      <c r="J55" s="11" t="s">
        <v>55</v>
      </c>
      <c r="K55" s="11" t="b">
        <v>1</v>
      </c>
      <c r="L55" s="11" t="s">
        <v>62</v>
      </c>
      <c r="M55" s="11" t="s">
        <v>57</v>
      </c>
      <c r="N55" s="11"/>
    </row>
    <row r="56" spans="1:14" ht="32" customHeight="1">
      <c r="A56" s="9" t="s">
        <v>195</v>
      </c>
      <c r="B56" s="9" t="s">
        <v>64</v>
      </c>
      <c r="C56" s="9" t="s">
        <v>65</v>
      </c>
      <c r="D56" s="6">
        <v>45700</v>
      </c>
      <c r="E56" s="10">
        <v>1399.68</v>
      </c>
      <c r="F56" s="9" t="s">
        <v>184</v>
      </c>
      <c r="G56" s="9"/>
      <c r="H56" s="9" t="s">
        <v>196</v>
      </c>
      <c r="I56" s="9" t="s">
        <v>186</v>
      </c>
      <c r="J56" s="9"/>
      <c r="K56" s="9" t="b">
        <v>0</v>
      </c>
      <c r="L56" s="9" t="s">
        <v>67</v>
      </c>
      <c r="M56" s="9" t="s">
        <v>57</v>
      </c>
      <c r="N56" s="9"/>
    </row>
    <row r="57" spans="1:14" ht="32" customHeight="1">
      <c r="A57" s="11" t="s">
        <v>197</v>
      </c>
      <c r="B57" s="11" t="s">
        <v>69</v>
      </c>
      <c r="C57" s="11" t="s">
        <v>70</v>
      </c>
      <c r="D57" s="12">
        <v>45704</v>
      </c>
      <c r="E57" s="13">
        <v>14708.94</v>
      </c>
      <c r="F57" s="11" t="s">
        <v>184</v>
      </c>
      <c r="G57" s="11" t="s">
        <v>52</v>
      </c>
      <c r="H57" s="11" t="s">
        <v>198</v>
      </c>
      <c r="I57" s="11" t="s">
        <v>186</v>
      </c>
      <c r="J57" s="11" t="s">
        <v>55</v>
      </c>
      <c r="K57" s="11" t="b">
        <v>1</v>
      </c>
      <c r="L57" s="11" t="s">
        <v>72</v>
      </c>
      <c r="M57" s="11" t="s">
        <v>57</v>
      </c>
      <c r="N57" s="11"/>
    </row>
    <row r="58" spans="1:14" ht="32" customHeight="1">
      <c r="A58" s="9" t="s">
        <v>199</v>
      </c>
      <c r="B58" s="9" t="s">
        <v>74</v>
      </c>
      <c r="C58" s="9" t="s">
        <v>75</v>
      </c>
      <c r="D58" s="6">
        <v>45708</v>
      </c>
      <c r="E58" s="10">
        <v>9342.709999999999</v>
      </c>
      <c r="F58" s="9" t="s">
        <v>184</v>
      </c>
      <c r="G58" s="9" t="s">
        <v>52</v>
      </c>
      <c r="H58" s="9" t="s">
        <v>200</v>
      </c>
      <c r="I58" s="9" t="s">
        <v>186</v>
      </c>
      <c r="J58" s="9" t="s">
        <v>55</v>
      </c>
      <c r="K58" s="9" t="b">
        <v>1</v>
      </c>
      <c r="L58" s="9" t="s">
        <v>77</v>
      </c>
      <c r="M58" s="9" t="s">
        <v>57</v>
      </c>
      <c r="N58" s="9"/>
    </row>
    <row r="59" spans="1:14" ht="32" customHeight="1">
      <c r="A59" s="11" t="s">
        <v>201</v>
      </c>
      <c r="B59" s="11" t="s">
        <v>79</v>
      </c>
      <c r="C59" s="11" t="s">
        <v>80</v>
      </c>
      <c r="D59" s="12">
        <v>45712</v>
      </c>
      <c r="E59" s="13">
        <v>7236.49</v>
      </c>
      <c r="F59" s="11" t="s">
        <v>184</v>
      </c>
      <c r="G59" s="11"/>
      <c r="H59" s="11" t="s">
        <v>202</v>
      </c>
      <c r="I59" s="11" t="s">
        <v>186</v>
      </c>
      <c r="J59" s="11"/>
      <c r="K59" s="11" t="b">
        <v>0</v>
      </c>
      <c r="L59" s="11" t="s">
        <v>82</v>
      </c>
      <c r="M59" s="11" t="s">
        <v>57</v>
      </c>
      <c r="N59" s="11"/>
    </row>
    <row r="60" spans="1:14" ht="32" customHeight="1">
      <c r="A60" s="9" t="s">
        <v>203</v>
      </c>
      <c r="B60" s="9" t="s">
        <v>84</v>
      </c>
      <c r="C60" s="9" t="s">
        <v>85</v>
      </c>
      <c r="D60" s="6">
        <v>45658</v>
      </c>
      <c r="E60" s="10">
        <v>2794.97</v>
      </c>
      <c r="F60" s="9" t="s">
        <v>184</v>
      </c>
      <c r="G60" s="9" t="s">
        <v>52</v>
      </c>
      <c r="H60" s="9" t="s">
        <v>204</v>
      </c>
      <c r="I60" s="9" t="s">
        <v>186</v>
      </c>
      <c r="J60" s="9" t="s">
        <v>55</v>
      </c>
      <c r="K60" s="9" t="b">
        <v>1</v>
      </c>
      <c r="L60" s="9" t="s">
        <v>87</v>
      </c>
      <c r="M60" s="9" t="s">
        <v>57</v>
      </c>
      <c r="N60" s="9"/>
    </row>
    <row r="61" spans="1:14" ht="32" customHeight="1">
      <c r="A61" s="11" t="s">
        <v>205</v>
      </c>
      <c r="B61" s="11" t="s">
        <v>89</v>
      </c>
      <c r="C61" s="11" t="s">
        <v>90</v>
      </c>
      <c r="D61" s="12">
        <v>45662</v>
      </c>
      <c r="E61" s="13">
        <v>6918.21</v>
      </c>
      <c r="F61" s="11" t="s">
        <v>184</v>
      </c>
      <c r="G61" s="11" t="s">
        <v>52</v>
      </c>
      <c r="H61" s="11" t="s">
        <v>206</v>
      </c>
      <c r="I61" s="11" t="s">
        <v>186</v>
      </c>
      <c r="J61" s="11" t="s">
        <v>55</v>
      </c>
      <c r="K61" s="11" t="b">
        <v>1</v>
      </c>
      <c r="L61" s="11" t="s">
        <v>92</v>
      </c>
      <c r="M61" s="11" t="s">
        <v>57</v>
      </c>
      <c r="N61" s="11"/>
    </row>
    <row r="62" spans="1:14" ht="32" customHeight="1">
      <c r="A62" s="9" t="s">
        <v>207</v>
      </c>
      <c r="B62" s="9" t="s">
        <v>94</v>
      </c>
      <c r="C62" s="9" t="s">
        <v>50</v>
      </c>
      <c r="D62" s="6">
        <v>45666</v>
      </c>
      <c r="E62" s="10">
        <v>4702.48</v>
      </c>
      <c r="F62" s="9" t="s">
        <v>184</v>
      </c>
      <c r="G62" s="9" t="s">
        <v>52</v>
      </c>
      <c r="H62" s="9" t="s">
        <v>208</v>
      </c>
      <c r="I62" s="9" t="s">
        <v>186</v>
      </c>
      <c r="J62" s="9" t="s">
        <v>55</v>
      </c>
      <c r="K62" s="9" t="b">
        <v>1</v>
      </c>
      <c r="L62" s="9" t="s">
        <v>56</v>
      </c>
      <c r="M62" s="9" t="s">
        <v>57</v>
      </c>
      <c r="N62" s="9"/>
    </row>
    <row r="63" spans="1:14" ht="32" customHeight="1">
      <c r="A63" s="11" t="s">
        <v>209</v>
      </c>
      <c r="B63" s="11" t="s">
        <v>97</v>
      </c>
      <c r="C63" s="11" t="s">
        <v>60</v>
      </c>
      <c r="D63" s="12">
        <v>45670</v>
      </c>
      <c r="E63" s="13">
        <v>4692.43</v>
      </c>
      <c r="F63" s="11" t="s">
        <v>184</v>
      </c>
      <c r="G63" s="11"/>
      <c r="H63" s="11" t="s">
        <v>210</v>
      </c>
      <c r="I63" s="11" t="s">
        <v>186</v>
      </c>
      <c r="J63" s="11"/>
      <c r="K63" s="11" t="b">
        <v>0</v>
      </c>
      <c r="L63" s="11" t="s">
        <v>62</v>
      </c>
      <c r="M63" s="11" t="s">
        <v>57</v>
      </c>
      <c r="N63" s="11"/>
    </row>
    <row r="64" spans="1:14" ht="32" customHeight="1">
      <c r="A64" s="9" t="s">
        <v>211</v>
      </c>
      <c r="B64" s="9" t="s">
        <v>100</v>
      </c>
      <c r="C64" s="9" t="s">
        <v>65</v>
      </c>
      <c r="D64" s="6">
        <v>45674</v>
      </c>
      <c r="E64" s="10">
        <v>8654.85</v>
      </c>
      <c r="F64" s="9" t="s">
        <v>184</v>
      </c>
      <c r="G64" s="9"/>
      <c r="H64" s="9" t="s">
        <v>212</v>
      </c>
      <c r="I64" s="9" t="s">
        <v>186</v>
      </c>
      <c r="J64" s="9"/>
      <c r="K64" s="9" t="b">
        <v>0</v>
      </c>
      <c r="L64" s="9" t="s">
        <v>67</v>
      </c>
      <c r="M64" s="9" t="s">
        <v>57</v>
      </c>
      <c r="N64" s="9"/>
    </row>
    <row r="65" spans="1:14" ht="32" customHeight="1">
      <c r="A65" s="11" t="s">
        <v>213</v>
      </c>
      <c r="B65" s="11" t="s">
        <v>103</v>
      </c>
      <c r="C65" s="11" t="s">
        <v>70</v>
      </c>
      <c r="D65" s="12">
        <v>45678</v>
      </c>
      <c r="E65" s="13">
        <v>13904.64</v>
      </c>
      <c r="F65" s="11" t="s">
        <v>184</v>
      </c>
      <c r="G65" s="11"/>
      <c r="H65" s="11" t="s">
        <v>214</v>
      </c>
      <c r="I65" s="11" t="s">
        <v>186</v>
      </c>
      <c r="J65" s="11"/>
      <c r="K65" s="11" t="b">
        <v>0</v>
      </c>
      <c r="L65" s="11" t="s">
        <v>72</v>
      </c>
      <c r="M65" s="11" t="s">
        <v>57</v>
      </c>
      <c r="N65" s="11"/>
    </row>
    <row r="66" spans="1:14" ht="32" customHeight="1">
      <c r="A66" s="9" t="s">
        <v>215</v>
      </c>
      <c r="B66" s="9" t="s">
        <v>106</v>
      </c>
      <c r="C66" s="9" t="s">
        <v>75</v>
      </c>
      <c r="D66" s="6">
        <v>45682</v>
      </c>
      <c r="E66" s="10">
        <v>996.63</v>
      </c>
      <c r="F66" s="9" t="s">
        <v>184</v>
      </c>
      <c r="G66" s="9" t="s">
        <v>52</v>
      </c>
      <c r="H66" s="9" t="s">
        <v>216</v>
      </c>
      <c r="I66" s="9" t="s">
        <v>186</v>
      </c>
      <c r="J66" s="9" t="s">
        <v>55</v>
      </c>
      <c r="K66" s="9" t="b">
        <v>1</v>
      </c>
      <c r="L66" s="9" t="s">
        <v>77</v>
      </c>
      <c r="M66" s="9" t="s">
        <v>57</v>
      </c>
      <c r="N66" s="9"/>
    </row>
    <row r="67" spans="1:14" ht="32" customHeight="1">
      <c r="A67" s="11" t="s">
        <v>217</v>
      </c>
      <c r="B67" s="11" t="s">
        <v>109</v>
      </c>
      <c r="C67" s="11" t="s">
        <v>80</v>
      </c>
      <c r="D67" s="12">
        <v>45686</v>
      </c>
      <c r="E67" s="13">
        <v>9808.48</v>
      </c>
      <c r="F67" s="11" t="s">
        <v>184</v>
      </c>
      <c r="G67" s="11" t="s">
        <v>52</v>
      </c>
      <c r="H67" s="11" t="s">
        <v>218</v>
      </c>
      <c r="I67" s="11" t="s">
        <v>186</v>
      </c>
      <c r="J67" s="11" t="s">
        <v>55</v>
      </c>
      <c r="K67" s="11" t="b">
        <v>1</v>
      </c>
      <c r="L67" s="11" t="s">
        <v>82</v>
      </c>
      <c r="M67" s="11" t="s">
        <v>57</v>
      </c>
      <c r="N67" s="11"/>
    </row>
    <row r="68" spans="1:14" ht="32" customHeight="1">
      <c r="A68" s="9" t="s">
        <v>219</v>
      </c>
      <c r="B68" s="9" t="s">
        <v>112</v>
      </c>
      <c r="C68" s="9" t="s">
        <v>85</v>
      </c>
      <c r="D68" s="6">
        <v>45690</v>
      </c>
      <c r="E68" s="10">
        <v>3937.09</v>
      </c>
      <c r="F68" s="9" t="s">
        <v>184</v>
      </c>
      <c r="G68" s="9" t="s">
        <v>52</v>
      </c>
      <c r="H68" s="9" t="s">
        <v>220</v>
      </c>
      <c r="I68" s="9" t="s">
        <v>186</v>
      </c>
      <c r="J68" s="9" t="s">
        <v>55</v>
      </c>
      <c r="K68" s="9" t="b">
        <v>1</v>
      </c>
      <c r="L68" s="9" t="s">
        <v>87</v>
      </c>
      <c r="M68" s="9" t="s">
        <v>57</v>
      </c>
      <c r="N68" s="9"/>
    </row>
    <row r="69" spans="1:14" ht="32" customHeight="1">
      <c r="A69" s="11" t="s">
        <v>221</v>
      </c>
      <c r="B69" s="11" t="s">
        <v>115</v>
      </c>
      <c r="C69" s="11" t="s">
        <v>90</v>
      </c>
      <c r="D69" s="12">
        <v>45694</v>
      </c>
      <c r="E69" s="13">
        <v>5619.16</v>
      </c>
      <c r="F69" s="11" t="s">
        <v>184</v>
      </c>
      <c r="G69" s="11" t="s">
        <v>52</v>
      </c>
      <c r="H69" s="11" t="s">
        <v>222</v>
      </c>
      <c r="I69" s="11" t="s">
        <v>186</v>
      </c>
      <c r="J69" s="11" t="s">
        <v>55</v>
      </c>
      <c r="K69" s="11" t="b">
        <v>1</v>
      </c>
      <c r="L69" s="11" t="s">
        <v>92</v>
      </c>
      <c r="M69" s="11" t="s">
        <v>57</v>
      </c>
      <c r="N69" s="11"/>
    </row>
    <row r="70" spans="1:14" ht="32" customHeight="1">
      <c r="A70" s="9" t="s">
        <v>223</v>
      </c>
      <c r="B70" s="9" t="s">
        <v>118</v>
      </c>
      <c r="C70" s="9" t="s">
        <v>50</v>
      </c>
      <c r="D70" s="6">
        <v>45698</v>
      </c>
      <c r="E70" s="10">
        <v>1522.67</v>
      </c>
      <c r="F70" s="9" t="s">
        <v>184</v>
      </c>
      <c r="G70" s="9" t="s">
        <v>52</v>
      </c>
      <c r="H70" s="9" t="s">
        <v>224</v>
      </c>
      <c r="I70" s="9" t="s">
        <v>186</v>
      </c>
      <c r="J70" s="9" t="s">
        <v>55</v>
      </c>
      <c r="K70" s="9" t="b">
        <v>1</v>
      </c>
      <c r="L70" s="9" t="s">
        <v>56</v>
      </c>
      <c r="M70" s="9" t="s">
        <v>57</v>
      </c>
      <c r="N70" s="9"/>
    </row>
    <row r="71" spans="1:14" ht="32" customHeight="1">
      <c r="A71" s="11" t="s">
        <v>225</v>
      </c>
      <c r="B71" s="11" t="s">
        <v>121</v>
      </c>
      <c r="C71" s="11" t="s">
        <v>60</v>
      </c>
      <c r="D71" s="12">
        <v>45702</v>
      </c>
      <c r="E71" s="13">
        <v>1845.92</v>
      </c>
      <c r="F71" s="11" t="s">
        <v>184</v>
      </c>
      <c r="G71" s="11"/>
      <c r="H71" s="11" t="s">
        <v>226</v>
      </c>
      <c r="I71" s="11" t="s">
        <v>186</v>
      </c>
      <c r="J71" s="11"/>
      <c r="K71" s="11" t="b">
        <v>0</v>
      </c>
      <c r="L71" s="11" t="s">
        <v>62</v>
      </c>
      <c r="M71" s="11" t="s">
        <v>57</v>
      </c>
      <c r="N71" s="11"/>
    </row>
    <row r="72" spans="1:14" ht="32" customHeight="1">
      <c r="A72" s="9" t="s">
        <v>227</v>
      </c>
      <c r="B72" s="9" t="s">
        <v>124</v>
      </c>
      <c r="C72" s="9" t="s">
        <v>65</v>
      </c>
      <c r="D72" s="6">
        <v>45706</v>
      </c>
      <c r="E72" s="10">
        <v>8661.01</v>
      </c>
      <c r="F72" s="9" t="s">
        <v>184</v>
      </c>
      <c r="G72" s="9"/>
      <c r="H72" s="9" t="s">
        <v>228</v>
      </c>
      <c r="I72" s="9" t="s">
        <v>186</v>
      </c>
      <c r="J72" s="9"/>
      <c r="K72" s="9" t="b">
        <v>0</v>
      </c>
      <c r="L72" s="9" t="s">
        <v>67</v>
      </c>
      <c r="M72" s="9" t="s">
        <v>57</v>
      </c>
      <c r="N72" s="9"/>
    </row>
    <row r="73" spans="1:14" ht="32" customHeight="1">
      <c r="A73" s="11" t="s">
        <v>229</v>
      </c>
      <c r="B73" s="11" t="s">
        <v>127</v>
      </c>
      <c r="C73" s="11" t="s">
        <v>70</v>
      </c>
      <c r="D73" s="12">
        <v>45710</v>
      </c>
      <c r="E73" s="13">
        <v>14454.96</v>
      </c>
      <c r="F73" s="11" t="s">
        <v>184</v>
      </c>
      <c r="G73" s="11" t="s">
        <v>52</v>
      </c>
      <c r="H73" s="11" t="s">
        <v>230</v>
      </c>
      <c r="I73" s="11" t="s">
        <v>186</v>
      </c>
      <c r="J73" s="11" t="s">
        <v>55</v>
      </c>
      <c r="K73" s="11" t="b">
        <v>1</v>
      </c>
      <c r="L73" s="11" t="s">
        <v>72</v>
      </c>
      <c r="M73" s="11" t="s">
        <v>57</v>
      </c>
      <c r="N73" s="11"/>
    </row>
    <row r="74" spans="1:14" ht="32" customHeight="1">
      <c r="A74" s="9" t="s">
        <v>231</v>
      </c>
      <c r="B74" s="9" t="s">
        <v>130</v>
      </c>
      <c r="C74" s="9" t="s">
        <v>75</v>
      </c>
      <c r="D74" s="6">
        <v>45714</v>
      </c>
      <c r="E74" s="10">
        <v>11110.82</v>
      </c>
      <c r="F74" s="9" t="s">
        <v>184</v>
      </c>
      <c r="G74" s="9"/>
      <c r="H74" s="9" t="s">
        <v>232</v>
      </c>
      <c r="I74" s="9" t="s">
        <v>186</v>
      </c>
      <c r="J74" s="9"/>
      <c r="K74" s="9" t="b">
        <v>0</v>
      </c>
      <c r="L74" s="9" t="s">
        <v>77</v>
      </c>
      <c r="M74" s="9" t="s">
        <v>57</v>
      </c>
      <c r="N74" s="9"/>
    </row>
    <row r="75" spans="1:14" ht="32" customHeight="1">
      <c r="A75" s="11" t="s">
        <v>233</v>
      </c>
      <c r="B75" s="11" t="s">
        <v>133</v>
      </c>
      <c r="C75" s="11" t="s">
        <v>80</v>
      </c>
      <c r="D75" s="12">
        <v>45660</v>
      </c>
      <c r="E75" s="13">
        <v>10239.62</v>
      </c>
      <c r="F75" s="11" t="s">
        <v>184</v>
      </c>
      <c r="G75" s="11" t="s">
        <v>52</v>
      </c>
      <c r="H75" s="11" t="s">
        <v>234</v>
      </c>
      <c r="I75" s="11" t="s">
        <v>186</v>
      </c>
      <c r="J75" s="11" t="s">
        <v>55</v>
      </c>
      <c r="K75" s="11" t="b">
        <v>1</v>
      </c>
      <c r="L75" s="11" t="s">
        <v>82</v>
      </c>
      <c r="M75" s="11" t="s">
        <v>57</v>
      </c>
      <c r="N75" s="11"/>
    </row>
    <row r="76" spans="1:14" ht="32" customHeight="1">
      <c r="A76" s="9" t="s">
        <v>235</v>
      </c>
      <c r="B76" s="9" t="s">
        <v>136</v>
      </c>
      <c r="C76" s="9" t="s">
        <v>85</v>
      </c>
      <c r="D76" s="6">
        <v>45664</v>
      </c>
      <c r="E76" s="10">
        <v>1376.41</v>
      </c>
      <c r="F76" s="9" t="s">
        <v>184</v>
      </c>
      <c r="G76" s="9" t="s">
        <v>52</v>
      </c>
      <c r="H76" s="9" t="s">
        <v>236</v>
      </c>
      <c r="I76" s="9" t="s">
        <v>186</v>
      </c>
      <c r="J76" s="9" t="s">
        <v>55</v>
      </c>
      <c r="K76" s="9" t="b">
        <v>1</v>
      </c>
      <c r="L76" s="9" t="s">
        <v>87</v>
      </c>
      <c r="M76" s="9" t="s">
        <v>57</v>
      </c>
      <c r="N76" s="9"/>
    </row>
    <row r="77" spans="1:14" ht="32" customHeight="1">
      <c r="A77" s="11" t="s">
        <v>237</v>
      </c>
      <c r="B77" s="11" t="s">
        <v>139</v>
      </c>
      <c r="C77" s="11" t="s">
        <v>90</v>
      </c>
      <c r="D77" s="12">
        <v>45668</v>
      </c>
      <c r="E77" s="13">
        <v>4299.19</v>
      </c>
      <c r="F77" s="11" t="s">
        <v>184</v>
      </c>
      <c r="G77" s="11" t="s">
        <v>52</v>
      </c>
      <c r="H77" s="11" t="s">
        <v>238</v>
      </c>
      <c r="I77" s="11" t="s">
        <v>186</v>
      </c>
      <c r="J77" s="11" t="s">
        <v>55</v>
      </c>
      <c r="K77" s="11" t="b">
        <v>1</v>
      </c>
      <c r="L77" s="11" t="s">
        <v>92</v>
      </c>
      <c r="M77" s="11" t="s">
        <v>57</v>
      </c>
      <c r="N77" s="11"/>
    </row>
    <row r="78" spans="1:14" ht="32" customHeight="1">
      <c r="A78" s="9" t="s">
        <v>239</v>
      </c>
      <c r="B78" s="9" t="s">
        <v>49</v>
      </c>
      <c r="C78" s="9" t="s">
        <v>50</v>
      </c>
      <c r="D78" s="6">
        <v>45672</v>
      </c>
      <c r="E78" s="10">
        <v>14671.12</v>
      </c>
      <c r="F78" s="9" t="s">
        <v>184</v>
      </c>
      <c r="G78" s="9"/>
      <c r="H78" s="9" t="s">
        <v>240</v>
      </c>
      <c r="I78" s="9" t="s">
        <v>186</v>
      </c>
      <c r="J78" s="9"/>
      <c r="K78" s="9" t="b">
        <v>0</v>
      </c>
      <c r="L78" s="9" t="s">
        <v>56</v>
      </c>
      <c r="M78" s="9" t="s">
        <v>57</v>
      </c>
      <c r="N78" s="9"/>
    </row>
    <row r="79" spans="1:14" ht="32" customHeight="1">
      <c r="A79" s="11" t="s">
        <v>241</v>
      </c>
      <c r="B79" s="11" t="s">
        <v>59</v>
      </c>
      <c r="C79" s="11" t="s">
        <v>60</v>
      </c>
      <c r="D79" s="12">
        <v>45676</v>
      </c>
      <c r="E79" s="13">
        <v>14052.93</v>
      </c>
      <c r="F79" s="11" t="s">
        <v>184</v>
      </c>
      <c r="G79" s="11" t="s">
        <v>52</v>
      </c>
      <c r="H79" s="11" t="s">
        <v>242</v>
      </c>
      <c r="I79" s="11" t="s">
        <v>186</v>
      </c>
      <c r="J79" s="11" t="s">
        <v>55</v>
      </c>
      <c r="K79" s="11" t="b">
        <v>1</v>
      </c>
      <c r="L79" s="11" t="s">
        <v>62</v>
      </c>
      <c r="M79" s="11" t="s">
        <v>57</v>
      </c>
      <c r="N79" s="11"/>
    </row>
    <row r="80" spans="1:14" ht="32" customHeight="1">
      <c r="A80" s="9" t="s">
        <v>243</v>
      </c>
      <c r="B80" s="9" t="s">
        <v>64</v>
      </c>
      <c r="C80" s="9" t="s">
        <v>65</v>
      </c>
      <c r="D80" s="6">
        <v>45680</v>
      </c>
      <c r="E80" s="10">
        <v>2138.72</v>
      </c>
      <c r="F80" s="9" t="s">
        <v>184</v>
      </c>
      <c r="G80" s="9"/>
      <c r="H80" s="9" t="s">
        <v>244</v>
      </c>
      <c r="I80" s="9" t="s">
        <v>186</v>
      </c>
      <c r="J80" s="9"/>
      <c r="K80" s="9" t="b">
        <v>0</v>
      </c>
      <c r="L80" s="9" t="s">
        <v>67</v>
      </c>
      <c r="M80" s="9" t="s">
        <v>57</v>
      </c>
      <c r="N80" s="9"/>
    </row>
    <row r="81" spans="1:14" ht="32" customHeight="1">
      <c r="A81" s="11" t="s">
        <v>245</v>
      </c>
      <c r="B81" s="11" t="s">
        <v>69</v>
      </c>
      <c r="C81" s="11" t="s">
        <v>70</v>
      </c>
      <c r="D81" s="12">
        <v>45684</v>
      </c>
      <c r="E81" s="13">
        <v>4841.04</v>
      </c>
      <c r="F81" s="11" t="s">
        <v>184</v>
      </c>
      <c r="G81" s="11"/>
      <c r="H81" s="11" t="s">
        <v>246</v>
      </c>
      <c r="I81" s="11" t="s">
        <v>186</v>
      </c>
      <c r="J81" s="11"/>
      <c r="K81" s="11" t="b">
        <v>0</v>
      </c>
      <c r="L81" s="11" t="s">
        <v>72</v>
      </c>
      <c r="M81" s="11" t="s">
        <v>57</v>
      </c>
      <c r="N81" s="11"/>
    </row>
    <row r="82" spans="1:14" ht="32" customHeight="1">
      <c r="A82" s="9" t="s">
        <v>247</v>
      </c>
      <c r="B82" s="9" t="s">
        <v>74</v>
      </c>
      <c r="C82" s="9" t="s">
        <v>75</v>
      </c>
      <c r="D82" s="6">
        <v>45688</v>
      </c>
      <c r="E82" s="10">
        <v>2446.68</v>
      </c>
      <c r="F82" s="9" t="s">
        <v>184</v>
      </c>
      <c r="G82" s="9" t="s">
        <v>52</v>
      </c>
      <c r="H82" s="9" t="s">
        <v>248</v>
      </c>
      <c r="I82" s="9" t="s">
        <v>186</v>
      </c>
      <c r="J82" s="9" t="s">
        <v>55</v>
      </c>
      <c r="K82" s="9" t="b">
        <v>1</v>
      </c>
      <c r="L82" s="9" t="s">
        <v>77</v>
      </c>
      <c r="M82" s="9" t="s">
        <v>57</v>
      </c>
      <c r="N82" s="9"/>
    </row>
    <row r="83" spans="1:14" ht="32" customHeight="1">
      <c r="A83" s="11" t="s">
        <v>249</v>
      </c>
      <c r="B83" s="11" t="s">
        <v>79</v>
      </c>
      <c r="C83" s="11" t="s">
        <v>80</v>
      </c>
      <c r="D83" s="12">
        <v>45692</v>
      </c>
      <c r="E83" s="13">
        <v>7988.81</v>
      </c>
      <c r="F83" s="11" t="s">
        <v>184</v>
      </c>
      <c r="G83" s="11" t="s">
        <v>52</v>
      </c>
      <c r="H83" s="11" t="s">
        <v>250</v>
      </c>
      <c r="I83" s="11" t="s">
        <v>186</v>
      </c>
      <c r="J83" s="11" t="s">
        <v>55</v>
      </c>
      <c r="K83" s="11" t="b">
        <v>1</v>
      </c>
      <c r="L83" s="11" t="s">
        <v>82</v>
      </c>
      <c r="M83" s="11" t="s">
        <v>57</v>
      </c>
      <c r="N83" s="11"/>
    </row>
    <row r="84" spans="1:14" ht="32" customHeight="1">
      <c r="A84" s="9" t="s">
        <v>251</v>
      </c>
      <c r="B84" s="9" t="s">
        <v>84</v>
      </c>
      <c r="C84" s="9" t="s">
        <v>85</v>
      </c>
      <c r="D84" s="6">
        <v>45696</v>
      </c>
      <c r="E84" s="10">
        <v>4790.53</v>
      </c>
      <c r="F84" s="9" t="s">
        <v>184</v>
      </c>
      <c r="G84" s="9" t="s">
        <v>52</v>
      </c>
      <c r="H84" s="9" t="s">
        <v>252</v>
      </c>
      <c r="I84" s="9" t="s">
        <v>186</v>
      </c>
      <c r="J84" s="9" t="s">
        <v>55</v>
      </c>
      <c r="K84" s="9" t="b">
        <v>1</v>
      </c>
      <c r="L84" s="9" t="s">
        <v>87</v>
      </c>
      <c r="M84" s="9" t="s">
        <v>57</v>
      </c>
      <c r="N84" s="9"/>
    </row>
    <row r="85" spans="1:14" ht="32" customHeight="1">
      <c r="A85" s="11" t="s">
        <v>253</v>
      </c>
      <c r="B85" s="11" t="s">
        <v>89</v>
      </c>
      <c r="C85" s="11" t="s">
        <v>90</v>
      </c>
      <c r="D85" s="12">
        <v>45700</v>
      </c>
      <c r="E85" s="13">
        <v>3535.95</v>
      </c>
      <c r="F85" s="11" t="s">
        <v>184</v>
      </c>
      <c r="G85" s="11"/>
      <c r="H85" s="11" t="s">
        <v>254</v>
      </c>
      <c r="I85" s="11" t="s">
        <v>186</v>
      </c>
      <c r="J85" s="11"/>
      <c r="K85" s="11" t="b">
        <v>0</v>
      </c>
      <c r="L85" s="11" t="s">
        <v>92</v>
      </c>
      <c r="M85" s="11" t="s">
        <v>57</v>
      </c>
      <c r="N85" s="11"/>
    </row>
    <row r="86" spans="1:14" ht="32" customHeight="1">
      <c r="A86" s="9" t="s">
        <v>255</v>
      </c>
      <c r="B86" s="9" t="s">
        <v>94</v>
      </c>
      <c r="C86" s="9" t="s">
        <v>50</v>
      </c>
      <c r="D86" s="6">
        <v>45704</v>
      </c>
      <c r="E86" s="10">
        <v>13773.32</v>
      </c>
      <c r="F86" s="9" t="s">
        <v>184</v>
      </c>
      <c r="G86" s="9"/>
      <c r="H86" s="9" t="s">
        <v>256</v>
      </c>
      <c r="I86" s="9" t="s">
        <v>186</v>
      </c>
      <c r="J86" s="9"/>
      <c r="K86" s="9" t="b">
        <v>0</v>
      </c>
      <c r="L86" s="9" t="s">
        <v>56</v>
      </c>
      <c r="M86" s="9" t="s">
        <v>57</v>
      </c>
      <c r="N86" s="9"/>
    </row>
    <row r="87" spans="1:14" ht="32" customHeight="1">
      <c r="A87" s="11" t="s">
        <v>257</v>
      </c>
      <c r="B87" s="11" t="s">
        <v>97</v>
      </c>
      <c r="C87" s="11" t="s">
        <v>60</v>
      </c>
      <c r="D87" s="12">
        <v>45708</v>
      </c>
      <c r="E87" s="13">
        <v>9357.200000000001</v>
      </c>
      <c r="F87" s="11" t="s">
        <v>184</v>
      </c>
      <c r="G87" s="11" t="s">
        <v>52</v>
      </c>
      <c r="H87" s="11" t="s">
        <v>258</v>
      </c>
      <c r="I87" s="11" t="s">
        <v>186</v>
      </c>
      <c r="J87" s="11" t="s">
        <v>55</v>
      </c>
      <c r="K87" s="11" t="b">
        <v>1</v>
      </c>
      <c r="L87" s="11" t="s">
        <v>62</v>
      </c>
      <c r="M87" s="11" t="s">
        <v>57</v>
      </c>
      <c r="N87" s="11"/>
    </row>
    <row r="88" spans="1:14" ht="32" customHeight="1">
      <c r="A88" s="9" t="s">
        <v>259</v>
      </c>
      <c r="B88" s="9" t="s">
        <v>100</v>
      </c>
      <c r="C88" s="9" t="s">
        <v>65</v>
      </c>
      <c r="D88" s="6">
        <v>45712</v>
      </c>
      <c r="E88" s="10">
        <v>12349.22</v>
      </c>
      <c r="F88" s="9" t="s">
        <v>184</v>
      </c>
      <c r="G88" s="9" t="s">
        <v>52</v>
      </c>
      <c r="H88" s="9" t="s">
        <v>260</v>
      </c>
      <c r="I88" s="9" t="s">
        <v>186</v>
      </c>
      <c r="J88" s="9" t="s">
        <v>55</v>
      </c>
      <c r="K88" s="9" t="b">
        <v>1</v>
      </c>
      <c r="L88" s="9" t="s">
        <v>67</v>
      </c>
      <c r="M88" s="9" t="s">
        <v>57</v>
      </c>
      <c r="N88" s="9"/>
    </row>
    <row r="89" spans="1:14" ht="32" customHeight="1">
      <c r="A89" s="11" t="s">
        <v>261</v>
      </c>
      <c r="B89" s="11" t="s">
        <v>103</v>
      </c>
      <c r="C89" s="11" t="s">
        <v>70</v>
      </c>
      <c r="D89" s="12">
        <v>45658</v>
      </c>
      <c r="E89" s="13">
        <v>4126.15</v>
      </c>
      <c r="F89" s="11" t="s">
        <v>184</v>
      </c>
      <c r="G89" s="11"/>
      <c r="H89" s="11" t="s">
        <v>262</v>
      </c>
      <c r="I89" s="11" t="s">
        <v>186</v>
      </c>
      <c r="J89" s="11"/>
      <c r="K89" s="11" t="b">
        <v>0</v>
      </c>
      <c r="L89" s="11" t="s">
        <v>72</v>
      </c>
      <c r="M89" s="11" t="s">
        <v>57</v>
      </c>
      <c r="N89" s="11"/>
    </row>
    <row r="90" spans="1:14" ht="32" customHeight="1">
      <c r="A90" s="9" t="s">
        <v>263</v>
      </c>
      <c r="B90" s="9" t="s">
        <v>106</v>
      </c>
      <c r="C90" s="9" t="s">
        <v>75</v>
      </c>
      <c r="D90" s="6">
        <v>45662</v>
      </c>
      <c r="E90" s="10">
        <v>1945.36</v>
      </c>
      <c r="F90" s="9" t="s">
        <v>184</v>
      </c>
      <c r="G90" s="9" t="s">
        <v>52</v>
      </c>
      <c r="H90" s="9" t="s">
        <v>264</v>
      </c>
      <c r="I90" s="9" t="s">
        <v>186</v>
      </c>
      <c r="J90" s="9" t="s">
        <v>55</v>
      </c>
      <c r="K90" s="9" t="b">
        <v>1</v>
      </c>
      <c r="L90" s="9" t="s">
        <v>77</v>
      </c>
      <c r="M90" s="9" t="s">
        <v>57</v>
      </c>
      <c r="N90" s="9"/>
    </row>
    <row r="91" spans="1:14" ht="32" customHeight="1">
      <c r="A91" s="11" t="s">
        <v>265</v>
      </c>
      <c r="B91" s="11" t="s">
        <v>109</v>
      </c>
      <c r="C91" s="11" t="s">
        <v>80</v>
      </c>
      <c r="D91" s="12">
        <v>45684</v>
      </c>
      <c r="E91" s="13">
        <v>5998.65</v>
      </c>
      <c r="F91" s="11" t="s">
        <v>266</v>
      </c>
      <c r="G91" s="11" t="s">
        <v>52</v>
      </c>
      <c r="H91" s="11" t="s">
        <v>267</v>
      </c>
      <c r="I91" s="11" t="s">
        <v>268</v>
      </c>
      <c r="J91" s="11" t="s">
        <v>55</v>
      </c>
      <c r="K91" s="11" t="b">
        <v>1</v>
      </c>
      <c r="L91" s="11" t="s">
        <v>82</v>
      </c>
      <c r="M91" s="11" t="s">
        <v>57</v>
      </c>
      <c r="N91" s="11"/>
    </row>
    <row r="92" spans="1:14" ht="32" customHeight="1">
      <c r="A92" s="9" t="s">
        <v>269</v>
      </c>
      <c r="B92" s="9" t="s">
        <v>112</v>
      </c>
      <c r="C92" s="9" t="s">
        <v>85</v>
      </c>
      <c r="D92" s="6">
        <v>45688</v>
      </c>
      <c r="E92" s="10">
        <v>6300.93</v>
      </c>
      <c r="F92" s="9" t="s">
        <v>266</v>
      </c>
      <c r="G92" s="9"/>
      <c r="H92" s="9" t="s">
        <v>270</v>
      </c>
      <c r="I92" s="9" t="s">
        <v>268</v>
      </c>
      <c r="J92" s="9"/>
      <c r="K92" s="9" t="b">
        <v>0</v>
      </c>
      <c r="L92" s="9" t="s">
        <v>87</v>
      </c>
      <c r="M92" s="9" t="s">
        <v>57</v>
      </c>
      <c r="N92" s="9"/>
    </row>
    <row r="93" spans="1:14" ht="32" customHeight="1">
      <c r="A93" s="11" t="s">
        <v>271</v>
      </c>
      <c r="B93" s="11" t="s">
        <v>115</v>
      </c>
      <c r="C93" s="11" t="s">
        <v>90</v>
      </c>
      <c r="D93" s="12">
        <v>45692</v>
      </c>
      <c r="E93" s="13">
        <v>12017.38</v>
      </c>
      <c r="F93" s="11" t="s">
        <v>266</v>
      </c>
      <c r="G93" s="11" t="s">
        <v>52</v>
      </c>
      <c r="H93" s="11" t="s">
        <v>272</v>
      </c>
      <c r="I93" s="11" t="s">
        <v>268</v>
      </c>
      <c r="J93" s="11" t="s">
        <v>55</v>
      </c>
      <c r="K93" s="11" t="b">
        <v>1</v>
      </c>
      <c r="L93" s="11" t="s">
        <v>92</v>
      </c>
      <c r="M93" s="11" t="s">
        <v>57</v>
      </c>
      <c r="N93" s="11"/>
    </row>
    <row r="94" spans="1:14" ht="32" customHeight="1">
      <c r="A94" s="9" t="s">
        <v>273</v>
      </c>
      <c r="B94" s="9" t="s">
        <v>118</v>
      </c>
      <c r="C94" s="9" t="s">
        <v>50</v>
      </c>
      <c r="D94" s="6">
        <v>45696</v>
      </c>
      <c r="E94" s="10">
        <v>13687.67</v>
      </c>
      <c r="F94" s="9" t="s">
        <v>266</v>
      </c>
      <c r="G94" s="9" t="s">
        <v>52</v>
      </c>
      <c r="H94" s="9" t="s">
        <v>274</v>
      </c>
      <c r="I94" s="9" t="s">
        <v>268</v>
      </c>
      <c r="J94" s="9" t="s">
        <v>55</v>
      </c>
      <c r="K94" s="9" t="b">
        <v>1</v>
      </c>
      <c r="L94" s="9" t="s">
        <v>56</v>
      </c>
      <c r="M94" s="9" t="s">
        <v>57</v>
      </c>
      <c r="N94" s="9"/>
    </row>
    <row r="95" spans="1:14" ht="32" customHeight="1">
      <c r="A95" s="11" t="s">
        <v>275</v>
      </c>
      <c r="B95" s="11" t="s">
        <v>121</v>
      </c>
      <c r="C95" s="11" t="s">
        <v>60</v>
      </c>
      <c r="D95" s="12">
        <v>45700</v>
      </c>
      <c r="E95" s="13">
        <v>14364.24</v>
      </c>
      <c r="F95" s="11" t="s">
        <v>266</v>
      </c>
      <c r="G95" s="11" t="s">
        <v>52</v>
      </c>
      <c r="H95" s="11" t="s">
        <v>276</v>
      </c>
      <c r="I95" s="11" t="s">
        <v>268</v>
      </c>
      <c r="J95" s="11" t="s">
        <v>55</v>
      </c>
      <c r="K95" s="11" t="b">
        <v>1</v>
      </c>
      <c r="L95" s="11" t="s">
        <v>62</v>
      </c>
      <c r="M95" s="11" t="s">
        <v>57</v>
      </c>
      <c r="N95" s="11"/>
    </row>
    <row r="96" spans="1:14" ht="32" customHeight="1">
      <c r="A96" s="9" t="s">
        <v>277</v>
      </c>
      <c r="B96" s="9" t="s">
        <v>124</v>
      </c>
      <c r="C96" s="9" t="s">
        <v>65</v>
      </c>
      <c r="D96" s="6">
        <v>45704</v>
      </c>
      <c r="E96" s="10">
        <v>4900.74</v>
      </c>
      <c r="F96" s="9" t="s">
        <v>266</v>
      </c>
      <c r="G96" s="9" t="s">
        <v>52</v>
      </c>
      <c r="H96" s="9" t="s">
        <v>278</v>
      </c>
      <c r="I96" s="9" t="s">
        <v>268</v>
      </c>
      <c r="J96" s="9" t="s">
        <v>55</v>
      </c>
      <c r="K96" s="9" t="b">
        <v>1</v>
      </c>
      <c r="L96" s="9" t="s">
        <v>67</v>
      </c>
      <c r="M96" s="9" t="s">
        <v>57</v>
      </c>
      <c r="N96" s="9"/>
    </row>
    <row r="97" spans="1:14" ht="32" customHeight="1">
      <c r="A97" s="11" t="s">
        <v>279</v>
      </c>
      <c r="B97" s="11" t="s">
        <v>127</v>
      </c>
      <c r="C97" s="11" t="s">
        <v>70</v>
      </c>
      <c r="D97" s="12">
        <v>45708</v>
      </c>
      <c r="E97" s="13">
        <v>2911.95</v>
      </c>
      <c r="F97" s="11" t="s">
        <v>266</v>
      </c>
      <c r="G97" s="11"/>
      <c r="H97" s="11" t="s">
        <v>280</v>
      </c>
      <c r="I97" s="11" t="s">
        <v>268</v>
      </c>
      <c r="J97" s="11"/>
      <c r="K97" s="11" t="b">
        <v>0</v>
      </c>
      <c r="L97" s="11" t="s">
        <v>72</v>
      </c>
      <c r="M97" s="11" t="s">
        <v>57</v>
      </c>
      <c r="N97" s="11"/>
    </row>
    <row r="98" spans="1:14" ht="32" customHeight="1">
      <c r="A98" s="9" t="s">
        <v>281</v>
      </c>
      <c r="B98" s="9" t="s">
        <v>130</v>
      </c>
      <c r="C98" s="9" t="s">
        <v>75</v>
      </c>
      <c r="D98" s="6">
        <v>45712</v>
      </c>
      <c r="E98" s="10">
        <v>6434.05</v>
      </c>
      <c r="F98" s="9" t="s">
        <v>266</v>
      </c>
      <c r="G98" s="9" t="s">
        <v>52</v>
      </c>
      <c r="H98" s="9" t="s">
        <v>282</v>
      </c>
      <c r="I98" s="9" t="s">
        <v>268</v>
      </c>
      <c r="J98" s="9" t="s">
        <v>55</v>
      </c>
      <c r="K98" s="9" t="b">
        <v>1</v>
      </c>
      <c r="L98" s="9" t="s">
        <v>77</v>
      </c>
      <c r="M98" s="9" t="s">
        <v>57</v>
      </c>
      <c r="N98" s="9"/>
    </row>
    <row r="99" spans="1:14" ht="32" customHeight="1">
      <c r="A99" s="11" t="s">
        <v>283</v>
      </c>
      <c r="B99" s="11" t="s">
        <v>133</v>
      </c>
      <c r="C99" s="11" t="s">
        <v>80</v>
      </c>
      <c r="D99" s="12">
        <v>45658</v>
      </c>
      <c r="E99" s="13">
        <v>8051.66</v>
      </c>
      <c r="F99" s="11" t="s">
        <v>266</v>
      </c>
      <c r="G99" s="11"/>
      <c r="H99" s="11" t="s">
        <v>284</v>
      </c>
      <c r="I99" s="11" t="s">
        <v>268</v>
      </c>
      <c r="J99" s="11"/>
      <c r="K99" s="11" t="b">
        <v>0</v>
      </c>
      <c r="L99" s="11" t="s">
        <v>82</v>
      </c>
      <c r="M99" s="11" t="s">
        <v>57</v>
      </c>
      <c r="N99" s="11"/>
    </row>
    <row r="100" spans="1:14" ht="32" customHeight="1">
      <c r="A100" s="9" t="s">
        <v>285</v>
      </c>
      <c r="B100" s="9" t="s">
        <v>136</v>
      </c>
      <c r="C100" s="9" t="s">
        <v>85</v>
      </c>
      <c r="D100" s="6">
        <v>45662</v>
      </c>
      <c r="E100" s="10">
        <v>13079.16</v>
      </c>
      <c r="F100" s="9" t="s">
        <v>266</v>
      </c>
      <c r="G100" s="9"/>
      <c r="H100" s="9" t="s">
        <v>286</v>
      </c>
      <c r="I100" s="9" t="s">
        <v>268</v>
      </c>
      <c r="J100" s="9"/>
      <c r="K100" s="9" t="b">
        <v>0</v>
      </c>
      <c r="L100" s="9" t="s">
        <v>87</v>
      </c>
      <c r="M100" s="9" t="s">
        <v>57</v>
      </c>
      <c r="N100" s="9"/>
    </row>
    <row r="101" spans="1:14" ht="32" customHeight="1">
      <c r="A101" s="11" t="s">
        <v>287</v>
      </c>
      <c r="B101" s="11" t="s">
        <v>139</v>
      </c>
      <c r="C101" s="11" t="s">
        <v>90</v>
      </c>
      <c r="D101" s="12">
        <v>45666</v>
      </c>
      <c r="E101" s="13">
        <v>1597.92</v>
      </c>
      <c r="F101" s="11" t="s">
        <v>266</v>
      </c>
      <c r="G101" s="11"/>
      <c r="H101" s="11" t="s">
        <v>288</v>
      </c>
      <c r="I101" s="11" t="s">
        <v>268</v>
      </c>
      <c r="J101" s="11"/>
      <c r="K101" s="11" t="b">
        <v>0</v>
      </c>
      <c r="L101" s="11" t="s">
        <v>92</v>
      </c>
      <c r="M101" s="11" t="s">
        <v>57</v>
      </c>
      <c r="N101" s="11"/>
    </row>
    <row r="102" spans="1:14" ht="32" customHeight="1">
      <c r="A102" s="9" t="s">
        <v>289</v>
      </c>
      <c r="B102" s="9" t="s">
        <v>49</v>
      </c>
      <c r="C102" s="9" t="s">
        <v>50</v>
      </c>
      <c r="D102" s="6">
        <v>45670</v>
      </c>
      <c r="E102" s="10">
        <v>8411.74</v>
      </c>
      <c r="F102" s="9" t="s">
        <v>266</v>
      </c>
      <c r="G102" s="9"/>
      <c r="H102" s="9" t="s">
        <v>290</v>
      </c>
      <c r="I102" s="9" t="s">
        <v>268</v>
      </c>
      <c r="J102" s="9"/>
      <c r="K102" s="9" t="b">
        <v>0</v>
      </c>
      <c r="L102" s="9" t="s">
        <v>56</v>
      </c>
      <c r="M102" s="9" t="s">
        <v>57</v>
      </c>
      <c r="N102" s="9"/>
    </row>
    <row r="103" spans="1:14" ht="32" customHeight="1">
      <c r="A103" s="11" t="s">
        <v>291</v>
      </c>
      <c r="B103" s="11" t="s">
        <v>59</v>
      </c>
      <c r="C103" s="11" t="s">
        <v>60</v>
      </c>
      <c r="D103" s="12">
        <v>45674</v>
      </c>
      <c r="E103" s="13">
        <v>12897.65</v>
      </c>
      <c r="F103" s="11" t="s">
        <v>266</v>
      </c>
      <c r="G103" s="11" t="s">
        <v>52</v>
      </c>
      <c r="H103" s="11" t="s">
        <v>292</v>
      </c>
      <c r="I103" s="11" t="s">
        <v>268</v>
      </c>
      <c r="J103" s="11" t="s">
        <v>55</v>
      </c>
      <c r="K103" s="11" t="b">
        <v>1</v>
      </c>
      <c r="L103" s="11" t="s">
        <v>62</v>
      </c>
      <c r="M103" s="11" t="s">
        <v>57</v>
      </c>
      <c r="N103" s="11"/>
    </row>
    <row r="104" spans="1:14" ht="32" customHeight="1">
      <c r="A104" s="9" t="s">
        <v>293</v>
      </c>
      <c r="B104" s="9" t="s">
        <v>64</v>
      </c>
      <c r="C104" s="9" t="s">
        <v>65</v>
      </c>
      <c r="D104" s="6">
        <v>45678</v>
      </c>
      <c r="E104" s="10">
        <v>4954.74</v>
      </c>
      <c r="F104" s="9" t="s">
        <v>266</v>
      </c>
      <c r="G104" s="9" t="s">
        <v>52</v>
      </c>
      <c r="H104" s="9" t="s">
        <v>294</v>
      </c>
      <c r="I104" s="9" t="s">
        <v>268</v>
      </c>
      <c r="J104" s="9" t="s">
        <v>55</v>
      </c>
      <c r="K104" s="9" t="b">
        <v>1</v>
      </c>
      <c r="L104" s="9" t="s">
        <v>67</v>
      </c>
      <c r="M104" s="9" t="s">
        <v>57</v>
      </c>
      <c r="N104" s="9"/>
    </row>
    <row r="105" spans="1:14" ht="32" customHeight="1">
      <c r="A105" s="11" t="s">
        <v>295</v>
      </c>
      <c r="B105" s="11" t="s">
        <v>69</v>
      </c>
      <c r="C105" s="11" t="s">
        <v>70</v>
      </c>
      <c r="D105" s="12">
        <v>45682</v>
      </c>
      <c r="E105" s="13">
        <v>2994.7</v>
      </c>
      <c r="F105" s="11" t="s">
        <v>266</v>
      </c>
      <c r="G105" s="11" t="s">
        <v>52</v>
      </c>
      <c r="H105" s="11" t="s">
        <v>296</v>
      </c>
      <c r="I105" s="11" t="s">
        <v>268</v>
      </c>
      <c r="J105" s="11" t="s">
        <v>55</v>
      </c>
      <c r="K105" s="11" t="b">
        <v>1</v>
      </c>
      <c r="L105" s="11" t="s">
        <v>72</v>
      </c>
      <c r="M105" s="11" t="s">
        <v>57</v>
      </c>
      <c r="N105" s="11"/>
    </row>
    <row r="106" spans="1:14" ht="32" customHeight="1">
      <c r="A106" s="9" t="s">
        <v>297</v>
      </c>
      <c r="B106" s="9" t="s">
        <v>74</v>
      </c>
      <c r="C106" s="9" t="s">
        <v>75</v>
      </c>
      <c r="D106" s="6">
        <v>45686</v>
      </c>
      <c r="E106" s="10">
        <v>1132.25</v>
      </c>
      <c r="F106" s="9" t="s">
        <v>266</v>
      </c>
      <c r="G106" s="9" t="s">
        <v>52</v>
      </c>
      <c r="H106" s="9" t="s">
        <v>298</v>
      </c>
      <c r="I106" s="9" t="s">
        <v>268</v>
      </c>
      <c r="J106" s="9" t="s">
        <v>55</v>
      </c>
      <c r="K106" s="9" t="b">
        <v>1</v>
      </c>
      <c r="L106" s="9" t="s">
        <v>77</v>
      </c>
      <c r="M106" s="9" t="s">
        <v>57</v>
      </c>
      <c r="N106" s="9"/>
    </row>
    <row r="107" spans="1:14" ht="32" customHeight="1">
      <c r="A107" s="11" t="s">
        <v>299</v>
      </c>
      <c r="B107" s="11" t="s">
        <v>79</v>
      </c>
      <c r="C107" s="11" t="s">
        <v>80</v>
      </c>
      <c r="D107" s="12">
        <v>45690</v>
      </c>
      <c r="E107" s="13">
        <v>2026.57</v>
      </c>
      <c r="F107" s="11" t="s">
        <v>266</v>
      </c>
      <c r="G107" s="11"/>
      <c r="H107" s="11" t="s">
        <v>300</v>
      </c>
      <c r="I107" s="11" t="s">
        <v>268</v>
      </c>
      <c r="J107" s="11"/>
      <c r="K107" s="11" t="b">
        <v>0</v>
      </c>
      <c r="L107" s="11" t="s">
        <v>82</v>
      </c>
      <c r="M107" s="11" t="s">
        <v>57</v>
      </c>
      <c r="N107" s="11"/>
    </row>
    <row r="108" spans="1:14" ht="32" customHeight="1">
      <c r="A108" s="9" t="s">
        <v>301</v>
      </c>
      <c r="B108" s="9" t="s">
        <v>84</v>
      </c>
      <c r="C108" s="9" t="s">
        <v>85</v>
      </c>
      <c r="D108" s="6">
        <v>45694</v>
      </c>
      <c r="E108" s="10">
        <v>9453.120000000001</v>
      </c>
      <c r="F108" s="9" t="s">
        <v>266</v>
      </c>
      <c r="G108" s="9"/>
      <c r="H108" s="9" t="s">
        <v>302</v>
      </c>
      <c r="I108" s="9" t="s">
        <v>268</v>
      </c>
      <c r="J108" s="9"/>
      <c r="K108" s="9" t="b">
        <v>0</v>
      </c>
      <c r="L108" s="9" t="s">
        <v>87</v>
      </c>
      <c r="M108" s="9" t="s">
        <v>57</v>
      </c>
      <c r="N108" s="9"/>
    </row>
    <row r="109" spans="1:14" ht="32" customHeight="1">
      <c r="A109" s="11" t="s">
        <v>303</v>
      </c>
      <c r="B109" s="11" t="s">
        <v>89</v>
      </c>
      <c r="C109" s="11" t="s">
        <v>90</v>
      </c>
      <c r="D109" s="12">
        <v>45698</v>
      </c>
      <c r="E109" s="13">
        <v>3354.75</v>
      </c>
      <c r="F109" s="11" t="s">
        <v>266</v>
      </c>
      <c r="G109" s="11" t="s">
        <v>52</v>
      </c>
      <c r="H109" s="11" t="s">
        <v>304</v>
      </c>
      <c r="I109" s="11" t="s">
        <v>268</v>
      </c>
      <c r="J109" s="11" t="s">
        <v>55</v>
      </c>
      <c r="K109" s="11" t="b">
        <v>1</v>
      </c>
      <c r="L109" s="11" t="s">
        <v>92</v>
      </c>
      <c r="M109" s="11" t="s">
        <v>57</v>
      </c>
      <c r="N109" s="11"/>
    </row>
    <row r="110" spans="1:14" ht="32" customHeight="1">
      <c r="A110" s="9" t="s">
        <v>305</v>
      </c>
      <c r="B110" s="9" t="s">
        <v>94</v>
      </c>
      <c r="C110" s="9" t="s">
        <v>50</v>
      </c>
      <c r="D110" s="6">
        <v>45702</v>
      </c>
      <c r="E110" s="10">
        <v>3688.48</v>
      </c>
      <c r="F110" s="9" t="s">
        <v>266</v>
      </c>
      <c r="G110" s="9"/>
      <c r="H110" s="9" t="s">
        <v>306</v>
      </c>
      <c r="I110" s="9" t="s">
        <v>268</v>
      </c>
      <c r="J110" s="9"/>
      <c r="K110" s="9" t="b">
        <v>0</v>
      </c>
      <c r="L110" s="9" t="s">
        <v>56</v>
      </c>
      <c r="M110" s="9" t="s">
        <v>57</v>
      </c>
      <c r="N110" s="9"/>
    </row>
    <row r="111" spans="1:14" ht="32" customHeight="1">
      <c r="A111" s="11" t="s">
        <v>307</v>
      </c>
      <c r="B111" s="11" t="s">
        <v>97</v>
      </c>
      <c r="C111" s="11" t="s">
        <v>60</v>
      </c>
      <c r="D111" s="12">
        <v>45706</v>
      </c>
      <c r="E111" s="13">
        <v>13855.35</v>
      </c>
      <c r="F111" s="11" t="s">
        <v>266</v>
      </c>
      <c r="G111" s="11" t="s">
        <v>52</v>
      </c>
      <c r="H111" s="11" t="s">
        <v>308</v>
      </c>
      <c r="I111" s="11" t="s">
        <v>268</v>
      </c>
      <c r="J111" s="11" t="s">
        <v>55</v>
      </c>
      <c r="K111" s="11" t="b">
        <v>1</v>
      </c>
      <c r="L111" s="11" t="s">
        <v>62</v>
      </c>
      <c r="M111" s="11" t="s">
        <v>57</v>
      </c>
      <c r="N111" s="11"/>
    </row>
    <row r="112" spans="1:14" ht="32" customHeight="1">
      <c r="A112" s="9" t="s">
        <v>309</v>
      </c>
      <c r="B112" s="9" t="s">
        <v>100</v>
      </c>
      <c r="C112" s="9" t="s">
        <v>65</v>
      </c>
      <c r="D112" s="6">
        <v>45710</v>
      </c>
      <c r="E112" s="10">
        <v>2932.14</v>
      </c>
      <c r="F112" s="9" t="s">
        <v>266</v>
      </c>
      <c r="G112" s="9" t="s">
        <v>52</v>
      </c>
      <c r="H112" s="9" t="s">
        <v>310</v>
      </c>
      <c r="I112" s="9" t="s">
        <v>268</v>
      </c>
      <c r="J112" s="9" t="s">
        <v>55</v>
      </c>
      <c r="K112" s="9" t="b">
        <v>1</v>
      </c>
      <c r="L112" s="9" t="s">
        <v>67</v>
      </c>
      <c r="M112" s="9" t="s">
        <v>57</v>
      </c>
      <c r="N112" s="9"/>
    </row>
    <row r="113" spans="1:14" ht="32" customHeight="1">
      <c r="A113" s="11" t="s">
        <v>311</v>
      </c>
      <c r="B113" s="11" t="s">
        <v>103</v>
      </c>
      <c r="C113" s="11" t="s">
        <v>70</v>
      </c>
      <c r="D113" s="12">
        <v>45714</v>
      </c>
      <c r="E113" s="13">
        <v>14721.58</v>
      </c>
      <c r="F113" s="11" t="s">
        <v>266</v>
      </c>
      <c r="G113" s="11" t="s">
        <v>52</v>
      </c>
      <c r="H113" s="11" t="s">
        <v>312</v>
      </c>
      <c r="I113" s="11" t="s">
        <v>268</v>
      </c>
      <c r="J113" s="11" t="s">
        <v>55</v>
      </c>
      <c r="K113" s="11" t="b">
        <v>1</v>
      </c>
      <c r="L113" s="11" t="s">
        <v>72</v>
      </c>
      <c r="M113" s="11" t="s">
        <v>57</v>
      </c>
      <c r="N113" s="11"/>
    </row>
    <row r="114" spans="1:14" ht="32" customHeight="1">
      <c r="A114" s="9" t="s">
        <v>313</v>
      </c>
      <c r="B114" s="9" t="s">
        <v>106</v>
      </c>
      <c r="C114" s="9" t="s">
        <v>75</v>
      </c>
      <c r="D114" s="6">
        <v>45660</v>
      </c>
      <c r="E114" s="10">
        <v>6357.97</v>
      </c>
      <c r="F114" s="9" t="s">
        <v>266</v>
      </c>
      <c r="G114" s="9" t="s">
        <v>52</v>
      </c>
      <c r="H114" s="9" t="s">
        <v>314</v>
      </c>
      <c r="I114" s="9" t="s">
        <v>268</v>
      </c>
      <c r="J114" s="9" t="s">
        <v>55</v>
      </c>
      <c r="K114" s="9" t="b">
        <v>1</v>
      </c>
      <c r="L114" s="9" t="s">
        <v>77</v>
      </c>
      <c r="M114" s="9" t="s">
        <v>57</v>
      </c>
      <c r="N114" s="9"/>
    </row>
    <row r="115" spans="1:14" ht="32" customHeight="1">
      <c r="A115" s="11" t="s">
        <v>315</v>
      </c>
      <c r="B115" s="11" t="s">
        <v>109</v>
      </c>
      <c r="C115" s="11" t="s">
        <v>80</v>
      </c>
      <c r="D115" s="12">
        <v>45664</v>
      </c>
      <c r="E115" s="13">
        <v>13654.55</v>
      </c>
      <c r="F115" s="11" t="s">
        <v>266</v>
      </c>
      <c r="G115" s="11"/>
      <c r="H115" s="11" t="s">
        <v>316</v>
      </c>
      <c r="I115" s="11" t="s">
        <v>268</v>
      </c>
      <c r="J115" s="11"/>
      <c r="K115" s="11" t="b">
        <v>0</v>
      </c>
      <c r="L115" s="11" t="s">
        <v>82</v>
      </c>
      <c r="M115" s="11" t="s">
        <v>57</v>
      </c>
      <c r="N115" s="11"/>
    </row>
    <row r="116" spans="1:14" ht="32" customHeight="1">
      <c r="A116" s="9" t="s">
        <v>317</v>
      </c>
      <c r="B116" s="9" t="s">
        <v>112</v>
      </c>
      <c r="C116" s="9" t="s">
        <v>85</v>
      </c>
      <c r="D116" s="6">
        <v>45668</v>
      </c>
      <c r="E116" s="10">
        <v>3613.33</v>
      </c>
      <c r="F116" s="9" t="s">
        <v>266</v>
      </c>
      <c r="G116" s="9" t="s">
        <v>52</v>
      </c>
      <c r="H116" s="9" t="s">
        <v>318</v>
      </c>
      <c r="I116" s="9" t="s">
        <v>268</v>
      </c>
      <c r="J116" s="9" t="s">
        <v>55</v>
      </c>
      <c r="K116" s="9" t="b">
        <v>1</v>
      </c>
      <c r="L116" s="9" t="s">
        <v>87</v>
      </c>
      <c r="M116" s="9" t="s">
        <v>57</v>
      </c>
      <c r="N116" s="9"/>
    </row>
    <row r="117" spans="1:14" ht="32" customHeight="1">
      <c r="A117" s="11" t="s">
        <v>319</v>
      </c>
      <c r="B117" s="11" t="s">
        <v>115</v>
      </c>
      <c r="C117" s="11" t="s">
        <v>90</v>
      </c>
      <c r="D117" s="12">
        <v>45672</v>
      </c>
      <c r="E117" s="13">
        <v>6244.06</v>
      </c>
      <c r="F117" s="11" t="s">
        <v>266</v>
      </c>
      <c r="G117" s="11" t="s">
        <v>52</v>
      </c>
      <c r="H117" s="11" t="s">
        <v>320</v>
      </c>
      <c r="I117" s="11" t="s">
        <v>268</v>
      </c>
      <c r="J117" s="11" t="s">
        <v>55</v>
      </c>
      <c r="K117" s="11" t="b">
        <v>1</v>
      </c>
      <c r="L117" s="11" t="s">
        <v>92</v>
      </c>
      <c r="M117" s="11" t="s">
        <v>57</v>
      </c>
      <c r="N117" s="11"/>
    </row>
    <row r="118" spans="1:14" ht="32" customHeight="1">
      <c r="A118" s="9" t="s">
        <v>321</v>
      </c>
      <c r="B118" s="9" t="s">
        <v>118</v>
      </c>
      <c r="C118" s="9" t="s">
        <v>50</v>
      </c>
      <c r="D118" s="6">
        <v>45676</v>
      </c>
      <c r="E118" s="10">
        <v>7312.53</v>
      </c>
      <c r="F118" s="9" t="s">
        <v>266</v>
      </c>
      <c r="G118" s="9" t="s">
        <v>52</v>
      </c>
      <c r="H118" s="9" t="s">
        <v>322</v>
      </c>
      <c r="I118" s="9" t="s">
        <v>268</v>
      </c>
      <c r="J118" s="9" t="s">
        <v>55</v>
      </c>
      <c r="K118" s="9" t="b">
        <v>1</v>
      </c>
      <c r="L118" s="9" t="s">
        <v>56</v>
      </c>
      <c r="M118" s="9" t="s">
        <v>57</v>
      </c>
      <c r="N118" s="9"/>
    </row>
    <row r="119" spans="1:14" ht="32" customHeight="1">
      <c r="A119" s="11" t="s">
        <v>323</v>
      </c>
      <c r="B119" s="11" t="s">
        <v>121</v>
      </c>
      <c r="C119" s="11" t="s">
        <v>60</v>
      </c>
      <c r="D119" s="12">
        <v>45680</v>
      </c>
      <c r="E119" s="13">
        <v>6265.82</v>
      </c>
      <c r="F119" s="11" t="s">
        <v>266</v>
      </c>
      <c r="G119" s="11" t="s">
        <v>52</v>
      </c>
      <c r="H119" s="11" t="s">
        <v>324</v>
      </c>
      <c r="I119" s="11" t="s">
        <v>268</v>
      </c>
      <c r="J119" s="11" t="s">
        <v>55</v>
      </c>
      <c r="K119" s="11" t="b">
        <v>1</v>
      </c>
      <c r="L119" s="11" t="s">
        <v>62</v>
      </c>
      <c r="M119" s="11" t="s">
        <v>57</v>
      </c>
      <c r="N119" s="11"/>
    </row>
    <row r="120" spans="1:14" ht="32" customHeight="1">
      <c r="A120" s="9" t="s">
        <v>325</v>
      </c>
      <c r="B120" s="9" t="s">
        <v>124</v>
      </c>
      <c r="C120" s="9" t="s">
        <v>65</v>
      </c>
      <c r="D120" s="6">
        <v>45684</v>
      </c>
      <c r="E120" s="10">
        <v>1219.58</v>
      </c>
      <c r="F120" s="9" t="s">
        <v>266</v>
      </c>
      <c r="G120" s="9"/>
      <c r="H120" s="9" t="s">
        <v>326</v>
      </c>
      <c r="I120" s="9" t="s">
        <v>268</v>
      </c>
      <c r="J120" s="9"/>
      <c r="K120" s="9" t="b">
        <v>0</v>
      </c>
      <c r="L120" s="9" t="s">
        <v>67</v>
      </c>
      <c r="M120" s="9" t="s">
        <v>57</v>
      </c>
      <c r="N120" s="9"/>
    </row>
    <row r="121" spans="1:14" ht="32" customHeight="1">
      <c r="A121" s="11" t="s">
        <v>327</v>
      </c>
      <c r="B121" s="11" t="s">
        <v>127</v>
      </c>
      <c r="C121" s="11" t="s">
        <v>70</v>
      </c>
      <c r="D121" s="12">
        <v>45688</v>
      </c>
      <c r="E121" s="13">
        <v>12046.86</v>
      </c>
      <c r="F121" s="11" t="s">
        <v>266</v>
      </c>
      <c r="G121" s="11" t="s">
        <v>52</v>
      </c>
      <c r="H121" s="11" t="s">
        <v>328</v>
      </c>
      <c r="I121" s="11" t="s">
        <v>268</v>
      </c>
      <c r="J121" s="11" t="s">
        <v>55</v>
      </c>
      <c r="K121" s="11" t="b">
        <v>1</v>
      </c>
      <c r="L121" s="11" t="s">
        <v>72</v>
      </c>
      <c r="M121" s="11" t="s">
        <v>57</v>
      </c>
      <c r="N121" s="11"/>
    </row>
    <row r="122" spans="1:14" ht="32" customHeight="1">
      <c r="A122" s="9" t="s">
        <v>329</v>
      </c>
      <c r="B122" s="9" t="s">
        <v>130</v>
      </c>
      <c r="C122" s="9" t="s">
        <v>75</v>
      </c>
      <c r="D122" s="6">
        <v>45692</v>
      </c>
      <c r="E122" s="10">
        <v>11434.02</v>
      </c>
      <c r="F122" s="9" t="s">
        <v>266</v>
      </c>
      <c r="G122" s="9" t="s">
        <v>52</v>
      </c>
      <c r="H122" s="9" t="s">
        <v>330</v>
      </c>
      <c r="I122" s="9" t="s">
        <v>268</v>
      </c>
      <c r="J122" s="9" t="s">
        <v>55</v>
      </c>
      <c r="K122" s="9" t="b">
        <v>1</v>
      </c>
      <c r="L122" s="9" t="s">
        <v>77</v>
      </c>
      <c r="M122" s="9" t="s">
        <v>57</v>
      </c>
      <c r="N122" s="9"/>
    </row>
    <row r="123" spans="1:14" ht="32" customHeight="1">
      <c r="A123" s="11" t="s">
        <v>331</v>
      </c>
      <c r="B123" s="11" t="s">
        <v>133</v>
      </c>
      <c r="C123" s="11" t="s">
        <v>80</v>
      </c>
      <c r="D123" s="12">
        <v>45696</v>
      </c>
      <c r="E123" s="13">
        <v>5175.46</v>
      </c>
      <c r="F123" s="11" t="s">
        <v>266</v>
      </c>
      <c r="G123" s="11" t="s">
        <v>52</v>
      </c>
      <c r="H123" s="11" t="s">
        <v>332</v>
      </c>
      <c r="I123" s="11" t="s">
        <v>268</v>
      </c>
      <c r="J123" s="11" t="s">
        <v>55</v>
      </c>
      <c r="K123" s="11" t="b">
        <v>1</v>
      </c>
      <c r="L123" s="11" t="s">
        <v>82</v>
      </c>
      <c r="M123" s="11" t="s">
        <v>57</v>
      </c>
      <c r="N123" s="11"/>
    </row>
    <row r="124" spans="1:14" ht="32" customHeight="1">
      <c r="A124" s="9" t="s">
        <v>333</v>
      </c>
      <c r="B124" s="9" t="s">
        <v>136</v>
      </c>
      <c r="C124" s="9" t="s">
        <v>85</v>
      </c>
      <c r="D124" s="6">
        <v>45700</v>
      </c>
      <c r="E124" s="10">
        <v>3819.13</v>
      </c>
      <c r="F124" s="9" t="s">
        <v>266</v>
      </c>
      <c r="G124" s="9" t="s">
        <v>52</v>
      </c>
      <c r="H124" s="9" t="s">
        <v>334</v>
      </c>
      <c r="I124" s="9" t="s">
        <v>268</v>
      </c>
      <c r="J124" s="9" t="s">
        <v>55</v>
      </c>
      <c r="K124" s="9" t="b">
        <v>1</v>
      </c>
      <c r="L124" s="9" t="s">
        <v>87</v>
      </c>
      <c r="M124" s="9" t="s">
        <v>57</v>
      </c>
      <c r="N124" s="9"/>
    </row>
    <row r="125" spans="1:14" ht="32" customHeight="1">
      <c r="A125" s="11" t="s">
        <v>335</v>
      </c>
      <c r="B125" s="11" t="s">
        <v>139</v>
      </c>
      <c r="C125" s="11" t="s">
        <v>90</v>
      </c>
      <c r="D125" s="12">
        <v>45704</v>
      </c>
      <c r="E125" s="13">
        <v>10857.29</v>
      </c>
      <c r="F125" s="11" t="s">
        <v>266</v>
      </c>
      <c r="G125" s="11" t="s">
        <v>52</v>
      </c>
      <c r="H125" s="11" t="s">
        <v>336</v>
      </c>
      <c r="I125" s="11" t="s">
        <v>268</v>
      </c>
      <c r="J125" s="11" t="s">
        <v>55</v>
      </c>
      <c r="K125" s="11" t="b">
        <v>1</v>
      </c>
      <c r="L125" s="11" t="s">
        <v>92</v>
      </c>
      <c r="M125" s="11" t="s">
        <v>57</v>
      </c>
      <c r="N125" s="11"/>
    </row>
    <row r="126" spans="1:14" ht="32" customHeight="1">
      <c r="A126" s="9" t="s">
        <v>337</v>
      </c>
      <c r="B126" s="9" t="s">
        <v>49</v>
      </c>
      <c r="C126" s="9" t="s">
        <v>50</v>
      </c>
      <c r="D126" s="6">
        <v>45708</v>
      </c>
      <c r="E126" s="10">
        <v>5336.44</v>
      </c>
      <c r="F126" s="9" t="s">
        <v>266</v>
      </c>
      <c r="G126" s="9" t="s">
        <v>52</v>
      </c>
      <c r="H126" s="9" t="s">
        <v>338</v>
      </c>
      <c r="I126" s="9" t="s">
        <v>268</v>
      </c>
      <c r="J126" s="9" t="s">
        <v>55</v>
      </c>
      <c r="K126" s="9" t="b">
        <v>1</v>
      </c>
      <c r="L126" s="9" t="s">
        <v>56</v>
      </c>
      <c r="M126" s="9" t="s">
        <v>57</v>
      </c>
      <c r="N126" s="9"/>
    </row>
    <row r="127" spans="1:14" ht="32" customHeight="1">
      <c r="A127" s="11" t="s">
        <v>339</v>
      </c>
      <c r="B127" s="11" t="s">
        <v>59</v>
      </c>
      <c r="C127" s="11" t="s">
        <v>60</v>
      </c>
      <c r="D127" s="12">
        <v>45712</v>
      </c>
      <c r="E127" s="13">
        <v>13044.35</v>
      </c>
      <c r="F127" s="11" t="s">
        <v>266</v>
      </c>
      <c r="G127" s="11" t="s">
        <v>52</v>
      </c>
      <c r="H127" s="11" t="s">
        <v>340</v>
      </c>
      <c r="I127" s="11" t="s">
        <v>268</v>
      </c>
      <c r="J127" s="11" t="s">
        <v>55</v>
      </c>
      <c r="K127" s="11" t="b">
        <v>1</v>
      </c>
      <c r="L127" s="11" t="s">
        <v>62</v>
      </c>
      <c r="M127" s="11" t="s">
        <v>57</v>
      </c>
      <c r="N127" s="11"/>
    </row>
    <row r="128" spans="1:14" ht="32" customHeight="1">
      <c r="A128" s="9" t="s">
        <v>341</v>
      </c>
      <c r="B128" s="9" t="s">
        <v>64</v>
      </c>
      <c r="C128" s="9" t="s">
        <v>65</v>
      </c>
      <c r="D128" s="6">
        <v>45658</v>
      </c>
      <c r="E128" s="10">
        <v>4475.69</v>
      </c>
      <c r="F128" s="9" t="s">
        <v>266</v>
      </c>
      <c r="G128" s="9" t="s">
        <v>52</v>
      </c>
      <c r="H128" s="9" t="s">
        <v>342</v>
      </c>
      <c r="I128" s="9" t="s">
        <v>268</v>
      </c>
      <c r="J128" s="9" t="s">
        <v>55</v>
      </c>
      <c r="K128" s="9" t="b">
        <v>1</v>
      </c>
      <c r="L128" s="9" t="s">
        <v>67</v>
      </c>
      <c r="M128" s="9" t="s">
        <v>57</v>
      </c>
      <c r="N128" s="9"/>
    </row>
    <row r="129" spans="1:14" ht="32" customHeight="1">
      <c r="A129" s="11" t="s">
        <v>343</v>
      </c>
      <c r="B129" s="11" t="s">
        <v>69</v>
      </c>
      <c r="C129" s="11" t="s">
        <v>70</v>
      </c>
      <c r="D129" s="12">
        <v>45662</v>
      </c>
      <c r="E129" s="13">
        <v>14488.21</v>
      </c>
      <c r="F129" s="11" t="s">
        <v>266</v>
      </c>
      <c r="G129" s="11" t="s">
        <v>52</v>
      </c>
      <c r="H129" s="11" t="s">
        <v>344</v>
      </c>
      <c r="I129" s="11" t="s">
        <v>268</v>
      </c>
      <c r="J129" s="11" t="s">
        <v>55</v>
      </c>
      <c r="K129" s="11" t="b">
        <v>1</v>
      </c>
      <c r="L129" s="11" t="s">
        <v>72</v>
      </c>
      <c r="M129" s="11" t="s">
        <v>57</v>
      </c>
      <c r="N129" s="11"/>
    </row>
    <row r="130" spans="1:14" ht="32" customHeight="1">
      <c r="A130" s="9" t="s">
        <v>345</v>
      </c>
      <c r="B130" s="9" t="s">
        <v>74</v>
      </c>
      <c r="C130" s="9" t="s">
        <v>75</v>
      </c>
      <c r="D130" s="6">
        <v>45666</v>
      </c>
      <c r="E130" s="10">
        <v>7294.24</v>
      </c>
      <c r="F130" s="9" t="s">
        <v>266</v>
      </c>
      <c r="G130" s="9" t="s">
        <v>52</v>
      </c>
      <c r="H130" s="9" t="s">
        <v>346</v>
      </c>
      <c r="I130" s="9" t="s">
        <v>268</v>
      </c>
      <c r="J130" s="9" t="s">
        <v>55</v>
      </c>
      <c r="K130" s="9" t="b">
        <v>1</v>
      </c>
      <c r="L130" s="9" t="s">
        <v>77</v>
      </c>
      <c r="M130" s="9" t="s">
        <v>57</v>
      </c>
      <c r="N130" s="9"/>
    </row>
    <row r="131" spans="1:14" ht="32" customHeight="1">
      <c r="A131" s="11" t="s">
        <v>347</v>
      </c>
      <c r="B131" s="11" t="s">
        <v>79</v>
      </c>
      <c r="C131" s="11" t="s">
        <v>80</v>
      </c>
      <c r="D131" s="12">
        <v>45670</v>
      </c>
      <c r="E131" s="13">
        <v>13694.09</v>
      </c>
      <c r="F131" s="11" t="s">
        <v>266</v>
      </c>
      <c r="G131" s="11" t="s">
        <v>52</v>
      </c>
      <c r="H131" s="11" t="s">
        <v>348</v>
      </c>
      <c r="I131" s="11" t="s">
        <v>268</v>
      </c>
      <c r="J131" s="11" t="s">
        <v>55</v>
      </c>
      <c r="K131" s="11" t="b">
        <v>1</v>
      </c>
      <c r="L131" s="11" t="s">
        <v>82</v>
      </c>
      <c r="M131" s="11" t="s">
        <v>57</v>
      </c>
      <c r="N131" s="11"/>
    </row>
    <row r="132" spans="1:14" ht="32" customHeight="1">
      <c r="A132" s="9" t="s">
        <v>349</v>
      </c>
      <c r="B132" s="9" t="s">
        <v>84</v>
      </c>
      <c r="C132" s="9" t="s">
        <v>85</v>
      </c>
      <c r="D132" s="6">
        <v>45674</v>
      </c>
      <c r="E132" s="10">
        <v>8704.969999999999</v>
      </c>
      <c r="F132" s="9" t="s">
        <v>266</v>
      </c>
      <c r="G132" s="9" t="s">
        <v>52</v>
      </c>
      <c r="H132" s="9" t="s">
        <v>350</v>
      </c>
      <c r="I132" s="9" t="s">
        <v>268</v>
      </c>
      <c r="J132" s="9" t="s">
        <v>55</v>
      </c>
      <c r="K132" s="9" t="b">
        <v>1</v>
      </c>
      <c r="L132" s="9" t="s">
        <v>87</v>
      </c>
      <c r="M132" s="9" t="s">
        <v>57</v>
      </c>
      <c r="N132" s="9"/>
    </row>
    <row r="133" spans="1:14" ht="32" customHeight="1">
      <c r="A133" s="11" t="s">
        <v>351</v>
      </c>
      <c r="B133" s="11" t="s">
        <v>89</v>
      </c>
      <c r="C133" s="11" t="s">
        <v>90</v>
      </c>
      <c r="D133" s="12">
        <v>45678</v>
      </c>
      <c r="E133" s="13">
        <v>12677.39</v>
      </c>
      <c r="F133" s="11" t="s">
        <v>266</v>
      </c>
      <c r="G133" s="11" t="s">
        <v>52</v>
      </c>
      <c r="H133" s="11" t="s">
        <v>352</v>
      </c>
      <c r="I133" s="11" t="s">
        <v>268</v>
      </c>
      <c r="J133" s="11" t="s">
        <v>55</v>
      </c>
      <c r="K133" s="11" t="b">
        <v>1</v>
      </c>
      <c r="L133" s="11" t="s">
        <v>92</v>
      </c>
      <c r="M133" s="11" t="s">
        <v>57</v>
      </c>
      <c r="N133" s="11"/>
    </row>
    <row r="134" spans="1:14" ht="32" customHeight="1">
      <c r="A134" s="9" t="s">
        <v>353</v>
      </c>
      <c r="B134" s="9" t="s">
        <v>94</v>
      </c>
      <c r="C134" s="9" t="s">
        <v>50</v>
      </c>
      <c r="D134" s="6">
        <v>45682</v>
      </c>
      <c r="E134" s="10">
        <v>8776.9</v>
      </c>
      <c r="F134" s="9" t="s">
        <v>266</v>
      </c>
      <c r="G134" s="9"/>
      <c r="H134" s="9" t="s">
        <v>354</v>
      </c>
      <c r="I134" s="9" t="s">
        <v>268</v>
      </c>
      <c r="J134" s="9"/>
      <c r="K134" s="9" t="b">
        <v>0</v>
      </c>
      <c r="L134" s="9" t="s">
        <v>56</v>
      </c>
      <c r="M134" s="9" t="s">
        <v>57</v>
      </c>
      <c r="N134" s="9"/>
    </row>
    <row r="135" spans="1:14" ht="32" customHeight="1">
      <c r="A135" s="11" t="s">
        <v>355</v>
      </c>
      <c r="B135" s="11" t="s">
        <v>97</v>
      </c>
      <c r="C135" s="11" t="s">
        <v>60</v>
      </c>
      <c r="D135" s="12">
        <v>45686</v>
      </c>
      <c r="E135" s="13">
        <v>3749.32</v>
      </c>
      <c r="F135" s="11" t="s">
        <v>266</v>
      </c>
      <c r="G135" s="11" t="s">
        <v>52</v>
      </c>
      <c r="H135" s="11" t="s">
        <v>356</v>
      </c>
      <c r="I135" s="11" t="s">
        <v>268</v>
      </c>
      <c r="J135" s="11" t="s">
        <v>55</v>
      </c>
      <c r="K135" s="11" t="b">
        <v>1</v>
      </c>
      <c r="L135" s="11" t="s">
        <v>62</v>
      </c>
      <c r="M135" s="11" t="s">
        <v>57</v>
      </c>
      <c r="N135" s="11"/>
    </row>
    <row r="136" spans="1:14" ht="32" customHeight="1">
      <c r="A136" s="9" t="s">
        <v>357</v>
      </c>
      <c r="B136" s="9" t="s">
        <v>100</v>
      </c>
      <c r="C136" s="9" t="s">
        <v>65</v>
      </c>
      <c r="D136" s="6">
        <v>45703</v>
      </c>
      <c r="E136" s="10">
        <v>9937.309999999999</v>
      </c>
      <c r="F136" s="9" t="s">
        <v>358</v>
      </c>
      <c r="G136" s="9" t="s">
        <v>52</v>
      </c>
      <c r="H136" s="9" t="s">
        <v>359</v>
      </c>
      <c r="I136" s="9" t="s">
        <v>360</v>
      </c>
      <c r="J136" s="9" t="s">
        <v>55</v>
      </c>
      <c r="K136" s="9" t="b">
        <v>1</v>
      </c>
      <c r="L136" s="9" t="s">
        <v>67</v>
      </c>
      <c r="M136" s="9" t="s">
        <v>57</v>
      </c>
      <c r="N136" s="9"/>
    </row>
    <row r="137" spans="1:14" ht="32" customHeight="1">
      <c r="A137" s="11" t="s">
        <v>361</v>
      </c>
      <c r="B137" s="11" t="s">
        <v>103</v>
      </c>
      <c r="C137" s="11" t="s">
        <v>70</v>
      </c>
      <c r="D137" s="12">
        <v>45707</v>
      </c>
      <c r="E137" s="13">
        <v>13982.93</v>
      </c>
      <c r="F137" s="11" t="s">
        <v>358</v>
      </c>
      <c r="G137" s="11"/>
      <c r="H137" s="11" t="s">
        <v>362</v>
      </c>
      <c r="I137" s="11" t="s">
        <v>360</v>
      </c>
      <c r="J137" s="11"/>
      <c r="K137" s="11" t="b">
        <v>0</v>
      </c>
      <c r="L137" s="11" t="s">
        <v>72</v>
      </c>
      <c r="M137" s="11" t="s">
        <v>57</v>
      </c>
      <c r="N137" s="11"/>
    </row>
    <row r="138" spans="1:14" ht="32" customHeight="1">
      <c r="A138" s="9" t="s">
        <v>363</v>
      </c>
      <c r="B138" s="9" t="s">
        <v>106</v>
      </c>
      <c r="C138" s="9" t="s">
        <v>75</v>
      </c>
      <c r="D138" s="6">
        <v>45711</v>
      </c>
      <c r="E138" s="10">
        <v>4989.75</v>
      </c>
      <c r="F138" s="9" t="s">
        <v>358</v>
      </c>
      <c r="G138" s="9"/>
      <c r="H138" s="9" t="s">
        <v>364</v>
      </c>
      <c r="I138" s="9" t="s">
        <v>360</v>
      </c>
      <c r="J138" s="9"/>
      <c r="K138" s="9" t="b">
        <v>0</v>
      </c>
      <c r="L138" s="9" t="s">
        <v>77</v>
      </c>
      <c r="M138" s="9" t="s">
        <v>57</v>
      </c>
      <c r="N138" s="9"/>
    </row>
    <row r="139" spans="1:14" ht="32" customHeight="1">
      <c r="A139" s="11" t="s">
        <v>365</v>
      </c>
      <c r="B139" s="11" t="s">
        <v>109</v>
      </c>
      <c r="C139" s="11" t="s">
        <v>80</v>
      </c>
      <c r="D139" s="12">
        <v>45715</v>
      </c>
      <c r="E139" s="13">
        <v>7536.43</v>
      </c>
      <c r="F139" s="11" t="s">
        <v>358</v>
      </c>
      <c r="G139" s="11" t="s">
        <v>52</v>
      </c>
      <c r="H139" s="11" t="s">
        <v>366</v>
      </c>
      <c r="I139" s="11" t="s">
        <v>360</v>
      </c>
      <c r="J139" s="11" t="s">
        <v>55</v>
      </c>
      <c r="K139" s="11" t="b">
        <v>1</v>
      </c>
      <c r="L139" s="11" t="s">
        <v>82</v>
      </c>
      <c r="M139" s="11" t="s">
        <v>57</v>
      </c>
      <c r="N139" s="11"/>
    </row>
    <row r="140" spans="1:14" ht="32" customHeight="1">
      <c r="A140" s="9" t="s">
        <v>367</v>
      </c>
      <c r="B140" s="9" t="s">
        <v>112</v>
      </c>
      <c r="C140" s="9" t="s">
        <v>85</v>
      </c>
      <c r="D140" s="6">
        <v>45661</v>
      </c>
      <c r="E140" s="10">
        <v>11686.66</v>
      </c>
      <c r="F140" s="9" t="s">
        <v>358</v>
      </c>
      <c r="G140" s="9"/>
      <c r="H140" s="9" t="s">
        <v>368</v>
      </c>
      <c r="I140" s="9" t="s">
        <v>360</v>
      </c>
      <c r="J140" s="9"/>
      <c r="K140" s="9" t="b">
        <v>0</v>
      </c>
      <c r="L140" s="9" t="s">
        <v>87</v>
      </c>
      <c r="M140" s="9" t="s">
        <v>57</v>
      </c>
      <c r="N140" s="9"/>
    </row>
    <row r="141" spans="1:14" ht="32" customHeight="1">
      <c r="A141" s="11" t="s">
        <v>369</v>
      </c>
      <c r="B141" s="11" t="s">
        <v>115</v>
      </c>
      <c r="C141" s="11" t="s">
        <v>90</v>
      </c>
      <c r="D141" s="12">
        <v>45665</v>
      </c>
      <c r="E141" s="13">
        <v>13535.07</v>
      </c>
      <c r="F141" s="11" t="s">
        <v>358</v>
      </c>
      <c r="G141" s="11"/>
      <c r="H141" s="11" t="s">
        <v>370</v>
      </c>
      <c r="I141" s="11" t="s">
        <v>360</v>
      </c>
      <c r="J141" s="11"/>
      <c r="K141" s="11" t="b">
        <v>0</v>
      </c>
      <c r="L141" s="11" t="s">
        <v>92</v>
      </c>
      <c r="M141" s="11" t="s">
        <v>57</v>
      </c>
      <c r="N141" s="11"/>
    </row>
    <row r="142" spans="1:14" ht="32" customHeight="1">
      <c r="A142" s="9" t="s">
        <v>371</v>
      </c>
      <c r="B142" s="9" t="s">
        <v>118</v>
      </c>
      <c r="C142" s="9" t="s">
        <v>50</v>
      </c>
      <c r="D142" s="6">
        <v>45669</v>
      </c>
      <c r="E142" s="10">
        <v>1621.02</v>
      </c>
      <c r="F142" s="9" t="s">
        <v>358</v>
      </c>
      <c r="G142" s="9" t="s">
        <v>52</v>
      </c>
      <c r="H142" s="9" t="s">
        <v>372</v>
      </c>
      <c r="I142" s="9" t="s">
        <v>360</v>
      </c>
      <c r="J142" s="9" t="s">
        <v>55</v>
      </c>
      <c r="K142" s="9" t="b">
        <v>1</v>
      </c>
      <c r="L142" s="9" t="s">
        <v>56</v>
      </c>
      <c r="M142" s="9" t="s">
        <v>57</v>
      </c>
      <c r="N142" s="9"/>
    </row>
    <row r="143" spans="1:14" ht="32" customHeight="1">
      <c r="A143" s="11" t="s">
        <v>373</v>
      </c>
      <c r="B143" s="11" t="s">
        <v>121</v>
      </c>
      <c r="C143" s="11" t="s">
        <v>60</v>
      </c>
      <c r="D143" s="12">
        <v>45673</v>
      </c>
      <c r="E143" s="13">
        <v>4738.39</v>
      </c>
      <c r="F143" s="11" t="s">
        <v>358</v>
      </c>
      <c r="G143" s="11"/>
      <c r="H143" s="11" t="s">
        <v>374</v>
      </c>
      <c r="I143" s="11" t="s">
        <v>360</v>
      </c>
      <c r="J143" s="11"/>
      <c r="K143" s="11" t="b">
        <v>0</v>
      </c>
      <c r="L143" s="11" t="s">
        <v>62</v>
      </c>
      <c r="M143" s="11" t="s">
        <v>57</v>
      </c>
      <c r="N143" s="11"/>
    </row>
    <row r="144" spans="1:14" ht="32" customHeight="1">
      <c r="A144" s="9" t="s">
        <v>375</v>
      </c>
      <c r="B144" s="9" t="s">
        <v>124</v>
      </c>
      <c r="C144" s="9" t="s">
        <v>65</v>
      </c>
      <c r="D144" s="6">
        <v>45677</v>
      </c>
      <c r="E144" s="10">
        <v>11825.76</v>
      </c>
      <c r="F144" s="9" t="s">
        <v>358</v>
      </c>
      <c r="G144" s="9" t="s">
        <v>52</v>
      </c>
      <c r="H144" s="9" t="s">
        <v>376</v>
      </c>
      <c r="I144" s="9" t="s">
        <v>360</v>
      </c>
      <c r="J144" s="9" t="s">
        <v>55</v>
      </c>
      <c r="K144" s="9" t="b">
        <v>1</v>
      </c>
      <c r="L144" s="9" t="s">
        <v>67</v>
      </c>
      <c r="M144" s="9" t="s">
        <v>57</v>
      </c>
      <c r="N144" s="9"/>
    </row>
    <row r="145" spans="1:14" ht="32" customHeight="1">
      <c r="A145" s="11" t="s">
        <v>377</v>
      </c>
      <c r="B145" s="11" t="s">
        <v>127</v>
      </c>
      <c r="C145" s="11" t="s">
        <v>70</v>
      </c>
      <c r="D145" s="12">
        <v>45681</v>
      </c>
      <c r="E145" s="13">
        <v>14544.18</v>
      </c>
      <c r="F145" s="11" t="s">
        <v>358</v>
      </c>
      <c r="G145" s="11" t="s">
        <v>52</v>
      </c>
      <c r="H145" s="11" t="s">
        <v>378</v>
      </c>
      <c r="I145" s="11" t="s">
        <v>360</v>
      </c>
      <c r="J145" s="11" t="s">
        <v>55</v>
      </c>
      <c r="K145" s="11" t="b">
        <v>1</v>
      </c>
      <c r="L145" s="11" t="s">
        <v>72</v>
      </c>
      <c r="M145" s="11" t="s">
        <v>57</v>
      </c>
      <c r="N145" s="11"/>
    </row>
    <row r="146" spans="1:14" ht="32" customHeight="1">
      <c r="A146" s="9" t="s">
        <v>379</v>
      </c>
      <c r="B146" s="9" t="s">
        <v>130</v>
      </c>
      <c r="C146" s="9" t="s">
        <v>75</v>
      </c>
      <c r="D146" s="6">
        <v>45685</v>
      </c>
      <c r="E146" s="10">
        <v>11895.2</v>
      </c>
      <c r="F146" s="9" t="s">
        <v>358</v>
      </c>
      <c r="G146" s="9" t="s">
        <v>52</v>
      </c>
      <c r="H146" s="9" t="s">
        <v>380</v>
      </c>
      <c r="I146" s="9" t="s">
        <v>360</v>
      </c>
      <c r="J146" s="9" t="s">
        <v>55</v>
      </c>
      <c r="K146" s="9" t="b">
        <v>1</v>
      </c>
      <c r="L146" s="9" t="s">
        <v>77</v>
      </c>
      <c r="M146" s="9" t="s">
        <v>57</v>
      </c>
      <c r="N146" s="9"/>
    </row>
    <row r="147" spans="1:14" ht="32" customHeight="1">
      <c r="A147" s="11" t="s">
        <v>381</v>
      </c>
      <c r="B147" s="11" t="s">
        <v>133</v>
      </c>
      <c r="C147" s="11" t="s">
        <v>80</v>
      </c>
      <c r="D147" s="12">
        <v>45689</v>
      </c>
      <c r="E147" s="13">
        <v>10505.91</v>
      </c>
      <c r="F147" s="11" t="s">
        <v>358</v>
      </c>
      <c r="G147" s="11" t="s">
        <v>52</v>
      </c>
      <c r="H147" s="11" t="s">
        <v>382</v>
      </c>
      <c r="I147" s="11" t="s">
        <v>360</v>
      </c>
      <c r="J147" s="11" t="s">
        <v>55</v>
      </c>
      <c r="K147" s="11" t="b">
        <v>1</v>
      </c>
      <c r="L147" s="11" t="s">
        <v>82</v>
      </c>
      <c r="M147" s="11" t="s">
        <v>57</v>
      </c>
      <c r="N147" s="11"/>
    </row>
    <row r="148" spans="1:14" ht="32" customHeight="1">
      <c r="A148" s="9" t="s">
        <v>383</v>
      </c>
      <c r="B148" s="9" t="s">
        <v>136</v>
      </c>
      <c r="C148" s="9" t="s">
        <v>85</v>
      </c>
      <c r="D148" s="6">
        <v>45693</v>
      </c>
      <c r="E148" s="10">
        <v>5367.58</v>
      </c>
      <c r="F148" s="9" t="s">
        <v>358</v>
      </c>
      <c r="G148" s="9"/>
      <c r="H148" s="9" t="s">
        <v>384</v>
      </c>
      <c r="I148" s="9" t="s">
        <v>360</v>
      </c>
      <c r="J148" s="9"/>
      <c r="K148" s="9" t="b">
        <v>0</v>
      </c>
      <c r="L148" s="9" t="s">
        <v>87</v>
      </c>
      <c r="M148" s="9" t="s">
        <v>57</v>
      </c>
      <c r="N148" s="9"/>
    </row>
    <row r="149" spans="1:14" ht="32" customHeight="1">
      <c r="A149" s="11" t="s">
        <v>385</v>
      </c>
      <c r="B149" s="11" t="s">
        <v>139</v>
      </c>
      <c r="C149" s="11" t="s">
        <v>90</v>
      </c>
      <c r="D149" s="12">
        <v>45697</v>
      </c>
      <c r="E149" s="13">
        <v>4865.03</v>
      </c>
      <c r="F149" s="11" t="s">
        <v>358</v>
      </c>
      <c r="G149" s="11"/>
      <c r="H149" s="11" t="s">
        <v>386</v>
      </c>
      <c r="I149" s="11" t="s">
        <v>360</v>
      </c>
      <c r="J149" s="11"/>
      <c r="K149" s="11" t="b">
        <v>0</v>
      </c>
      <c r="L149" s="11" t="s">
        <v>92</v>
      </c>
      <c r="M149" s="11" t="s">
        <v>57</v>
      </c>
      <c r="N149" s="11"/>
    </row>
    <row r="150" spans="1:14" ht="32" customHeight="1">
      <c r="A150" s="9" t="s">
        <v>387</v>
      </c>
      <c r="B150" s="9" t="s">
        <v>49</v>
      </c>
      <c r="C150" s="9" t="s">
        <v>50</v>
      </c>
      <c r="D150" s="6">
        <v>45701</v>
      </c>
      <c r="E150" s="10">
        <v>1632.58</v>
      </c>
      <c r="F150" s="9" t="s">
        <v>358</v>
      </c>
      <c r="G150" s="9"/>
      <c r="H150" s="9" t="s">
        <v>388</v>
      </c>
      <c r="I150" s="9" t="s">
        <v>360</v>
      </c>
      <c r="J150" s="9"/>
      <c r="K150" s="9" t="b">
        <v>0</v>
      </c>
      <c r="L150" s="9" t="s">
        <v>56</v>
      </c>
      <c r="M150" s="9" t="s">
        <v>57</v>
      </c>
      <c r="N150" s="9"/>
    </row>
    <row r="151" spans="1:14" ht="32" customHeight="1">
      <c r="A151" s="11" t="s">
        <v>389</v>
      </c>
      <c r="B151" s="11" t="s">
        <v>59</v>
      </c>
      <c r="C151" s="11" t="s">
        <v>60</v>
      </c>
      <c r="D151" s="12">
        <v>45705</v>
      </c>
      <c r="E151" s="13">
        <v>11924.82</v>
      </c>
      <c r="F151" s="11" t="s">
        <v>358</v>
      </c>
      <c r="G151" s="11"/>
      <c r="H151" s="11" t="s">
        <v>390</v>
      </c>
      <c r="I151" s="11" t="s">
        <v>360</v>
      </c>
      <c r="J151" s="11"/>
      <c r="K151" s="11" t="b">
        <v>0</v>
      </c>
      <c r="L151" s="11" t="s">
        <v>62</v>
      </c>
      <c r="M151" s="11" t="s">
        <v>57</v>
      </c>
      <c r="N151" s="11"/>
    </row>
    <row r="152" spans="1:14" ht="32" customHeight="1">
      <c r="A152" s="9" t="s">
        <v>391</v>
      </c>
      <c r="B152" s="9" t="s">
        <v>64</v>
      </c>
      <c r="C152" s="9" t="s">
        <v>65</v>
      </c>
      <c r="D152" s="6">
        <v>45709</v>
      </c>
      <c r="E152" s="10">
        <v>5753.06</v>
      </c>
      <c r="F152" s="9" t="s">
        <v>358</v>
      </c>
      <c r="G152" s="9" t="s">
        <v>52</v>
      </c>
      <c r="H152" s="9" t="s">
        <v>392</v>
      </c>
      <c r="I152" s="9" t="s">
        <v>360</v>
      </c>
      <c r="J152" s="9" t="s">
        <v>55</v>
      </c>
      <c r="K152" s="9" t="b">
        <v>1</v>
      </c>
      <c r="L152" s="9" t="s">
        <v>67</v>
      </c>
      <c r="M152" s="9" t="s">
        <v>57</v>
      </c>
      <c r="N152" s="9"/>
    </row>
    <row r="153" spans="1:14" ht="32" customHeight="1">
      <c r="A153" s="11" t="s">
        <v>393</v>
      </c>
      <c r="B153" s="11" t="s">
        <v>69</v>
      </c>
      <c r="C153" s="11" t="s">
        <v>70</v>
      </c>
      <c r="D153" s="12">
        <v>45713</v>
      </c>
      <c r="E153" s="13">
        <v>1417.27</v>
      </c>
      <c r="F153" s="11" t="s">
        <v>358</v>
      </c>
      <c r="G153" s="11"/>
      <c r="H153" s="11" t="s">
        <v>394</v>
      </c>
      <c r="I153" s="11" t="s">
        <v>360</v>
      </c>
      <c r="J153" s="11"/>
      <c r="K153" s="11" t="b">
        <v>0</v>
      </c>
      <c r="L153" s="11" t="s">
        <v>72</v>
      </c>
      <c r="M153" s="11" t="s">
        <v>57</v>
      </c>
      <c r="N153" s="11"/>
    </row>
    <row r="154" spans="1:14" ht="32" customHeight="1">
      <c r="A154" s="9" t="s">
        <v>395</v>
      </c>
      <c r="B154" s="9" t="s">
        <v>74</v>
      </c>
      <c r="C154" s="9" t="s">
        <v>75</v>
      </c>
      <c r="D154" s="6">
        <v>45659</v>
      </c>
      <c r="E154" s="10">
        <v>7915.06</v>
      </c>
      <c r="F154" s="9" t="s">
        <v>358</v>
      </c>
      <c r="G154" s="9" t="s">
        <v>52</v>
      </c>
      <c r="H154" s="9" t="s">
        <v>396</v>
      </c>
      <c r="I154" s="9" t="s">
        <v>360</v>
      </c>
      <c r="J154" s="9" t="s">
        <v>55</v>
      </c>
      <c r="K154" s="9" t="b">
        <v>1</v>
      </c>
      <c r="L154" s="9" t="s">
        <v>77</v>
      </c>
      <c r="M154" s="9" t="s">
        <v>57</v>
      </c>
      <c r="N154" s="9"/>
    </row>
    <row r="155" spans="1:14" ht="32" customHeight="1">
      <c r="A155" s="11" t="s">
        <v>397</v>
      </c>
      <c r="B155" s="11" t="s">
        <v>79</v>
      </c>
      <c r="C155" s="11" t="s">
        <v>80</v>
      </c>
      <c r="D155" s="12">
        <v>45663</v>
      </c>
      <c r="E155" s="13">
        <v>14639.67</v>
      </c>
      <c r="F155" s="11" t="s">
        <v>358</v>
      </c>
      <c r="G155" s="11" t="s">
        <v>52</v>
      </c>
      <c r="H155" s="11" t="s">
        <v>398</v>
      </c>
      <c r="I155" s="11" t="s">
        <v>360</v>
      </c>
      <c r="J155" s="11" t="s">
        <v>55</v>
      </c>
      <c r="K155" s="11" t="b">
        <v>1</v>
      </c>
      <c r="L155" s="11" t="s">
        <v>82</v>
      </c>
      <c r="M155" s="11" t="s">
        <v>57</v>
      </c>
      <c r="N155" s="11"/>
    </row>
    <row r="156" spans="1:14" ht="32" customHeight="1">
      <c r="A156" s="9" t="s">
        <v>399</v>
      </c>
      <c r="B156" s="9" t="s">
        <v>84</v>
      </c>
      <c r="C156" s="9" t="s">
        <v>85</v>
      </c>
      <c r="D156" s="6">
        <v>45667</v>
      </c>
      <c r="E156" s="10">
        <v>14144.98</v>
      </c>
      <c r="F156" s="9" t="s">
        <v>358</v>
      </c>
      <c r="G156" s="9" t="s">
        <v>52</v>
      </c>
      <c r="H156" s="9" t="s">
        <v>400</v>
      </c>
      <c r="I156" s="9" t="s">
        <v>360</v>
      </c>
      <c r="J156" s="9" t="s">
        <v>55</v>
      </c>
      <c r="K156" s="9" t="b">
        <v>1</v>
      </c>
      <c r="L156" s="9" t="s">
        <v>87</v>
      </c>
      <c r="M156" s="9" t="s">
        <v>57</v>
      </c>
      <c r="N156" s="9"/>
    </row>
    <row r="157" spans="1:14" ht="32" customHeight="1">
      <c r="A157" s="11" t="s">
        <v>401</v>
      </c>
      <c r="B157" s="11" t="s">
        <v>89</v>
      </c>
      <c r="C157" s="11" t="s">
        <v>90</v>
      </c>
      <c r="D157" s="12">
        <v>45671</v>
      </c>
      <c r="E157" s="13">
        <v>7362.23</v>
      </c>
      <c r="F157" s="11" t="s">
        <v>358</v>
      </c>
      <c r="G157" s="11" t="s">
        <v>52</v>
      </c>
      <c r="H157" s="11" t="s">
        <v>402</v>
      </c>
      <c r="I157" s="11" t="s">
        <v>360</v>
      </c>
      <c r="J157" s="11" t="s">
        <v>55</v>
      </c>
      <c r="K157" s="11" t="b">
        <v>1</v>
      </c>
      <c r="L157" s="11" t="s">
        <v>92</v>
      </c>
      <c r="M157" s="11" t="s">
        <v>57</v>
      </c>
      <c r="N157" s="11"/>
    </row>
    <row r="158" spans="1:14" ht="32" customHeight="1">
      <c r="A158" s="9" t="s">
        <v>403</v>
      </c>
      <c r="B158" s="9" t="s">
        <v>94</v>
      </c>
      <c r="C158" s="9" t="s">
        <v>50</v>
      </c>
      <c r="D158" s="6">
        <v>45675</v>
      </c>
      <c r="E158" s="10">
        <v>8358.25</v>
      </c>
      <c r="F158" s="9" t="s">
        <v>358</v>
      </c>
      <c r="G158" s="9"/>
      <c r="H158" s="9" t="s">
        <v>404</v>
      </c>
      <c r="I158" s="9" t="s">
        <v>360</v>
      </c>
      <c r="J158" s="9"/>
      <c r="K158" s="9" t="b">
        <v>0</v>
      </c>
      <c r="L158" s="9" t="s">
        <v>56</v>
      </c>
      <c r="M158" s="9" t="s">
        <v>57</v>
      </c>
      <c r="N158" s="9"/>
    </row>
    <row r="159" spans="1:14" ht="32" customHeight="1">
      <c r="A159" s="11" t="s">
        <v>405</v>
      </c>
      <c r="B159" s="11" t="s">
        <v>97</v>
      </c>
      <c r="C159" s="11" t="s">
        <v>60</v>
      </c>
      <c r="D159" s="12">
        <v>45679</v>
      </c>
      <c r="E159" s="13">
        <v>2233.66</v>
      </c>
      <c r="F159" s="11" t="s">
        <v>358</v>
      </c>
      <c r="G159" s="11" t="s">
        <v>52</v>
      </c>
      <c r="H159" s="11" t="s">
        <v>406</v>
      </c>
      <c r="I159" s="11" t="s">
        <v>360</v>
      </c>
      <c r="J159" s="11" t="s">
        <v>55</v>
      </c>
      <c r="K159" s="11" t="b">
        <v>1</v>
      </c>
      <c r="L159" s="11" t="s">
        <v>62</v>
      </c>
      <c r="M159" s="11" t="s">
        <v>57</v>
      </c>
      <c r="N159" s="11"/>
    </row>
    <row r="160" spans="1:14" ht="32" customHeight="1">
      <c r="A160" s="9" t="s">
        <v>407</v>
      </c>
      <c r="B160" s="9" t="s">
        <v>100</v>
      </c>
      <c r="C160" s="9" t="s">
        <v>65</v>
      </c>
      <c r="D160" s="6">
        <v>45683</v>
      </c>
      <c r="E160" s="10">
        <v>7228.23</v>
      </c>
      <c r="F160" s="9" t="s">
        <v>358</v>
      </c>
      <c r="G160" s="9"/>
      <c r="H160" s="9" t="s">
        <v>408</v>
      </c>
      <c r="I160" s="9" t="s">
        <v>360</v>
      </c>
      <c r="J160" s="9"/>
      <c r="K160" s="9" t="b">
        <v>0</v>
      </c>
      <c r="L160" s="9" t="s">
        <v>67</v>
      </c>
      <c r="M160" s="9" t="s">
        <v>57</v>
      </c>
      <c r="N160" s="9"/>
    </row>
    <row r="161" spans="1:14" ht="32" customHeight="1">
      <c r="A161" s="11" t="s">
        <v>409</v>
      </c>
      <c r="B161" s="11" t="s">
        <v>103</v>
      </c>
      <c r="C161" s="11" t="s">
        <v>70</v>
      </c>
      <c r="D161" s="12">
        <v>45687</v>
      </c>
      <c r="E161" s="13">
        <v>8935.889999999999</v>
      </c>
      <c r="F161" s="11" t="s">
        <v>358</v>
      </c>
      <c r="G161" s="11" t="s">
        <v>52</v>
      </c>
      <c r="H161" s="11" t="s">
        <v>410</v>
      </c>
      <c r="I161" s="11" t="s">
        <v>360</v>
      </c>
      <c r="J161" s="11" t="s">
        <v>55</v>
      </c>
      <c r="K161" s="11" t="b">
        <v>1</v>
      </c>
      <c r="L161" s="11" t="s">
        <v>72</v>
      </c>
      <c r="M161" s="11" t="s">
        <v>57</v>
      </c>
      <c r="N161" s="11"/>
    </row>
    <row r="162" spans="1:14" ht="32" customHeight="1">
      <c r="A162" s="9" t="s">
        <v>411</v>
      </c>
      <c r="B162" s="9" t="s">
        <v>106</v>
      </c>
      <c r="C162" s="9" t="s">
        <v>75</v>
      </c>
      <c r="D162" s="6">
        <v>45691</v>
      </c>
      <c r="E162" s="10">
        <v>6289.78</v>
      </c>
      <c r="F162" s="9" t="s">
        <v>358</v>
      </c>
      <c r="G162" s="9"/>
      <c r="H162" s="9" t="s">
        <v>412</v>
      </c>
      <c r="I162" s="9" t="s">
        <v>360</v>
      </c>
      <c r="J162" s="9"/>
      <c r="K162" s="9" t="b">
        <v>0</v>
      </c>
      <c r="L162" s="9" t="s">
        <v>77</v>
      </c>
      <c r="M162" s="9" t="s">
        <v>57</v>
      </c>
      <c r="N162" s="9"/>
    </row>
    <row r="163" spans="1:14" ht="32" customHeight="1">
      <c r="A163" s="11" t="s">
        <v>413</v>
      </c>
      <c r="B163" s="11" t="s">
        <v>109</v>
      </c>
      <c r="C163" s="11" t="s">
        <v>80</v>
      </c>
      <c r="D163" s="12">
        <v>45695</v>
      </c>
      <c r="E163" s="13">
        <v>5764.75</v>
      </c>
      <c r="F163" s="11" t="s">
        <v>358</v>
      </c>
      <c r="G163" s="11"/>
      <c r="H163" s="11" t="s">
        <v>414</v>
      </c>
      <c r="I163" s="11" t="s">
        <v>360</v>
      </c>
      <c r="J163" s="11"/>
      <c r="K163" s="11" t="b">
        <v>0</v>
      </c>
      <c r="L163" s="11" t="s">
        <v>82</v>
      </c>
      <c r="M163" s="11" t="s">
        <v>57</v>
      </c>
      <c r="N163" s="11"/>
    </row>
    <row r="164" spans="1:14" ht="32" customHeight="1">
      <c r="A164" s="9" t="s">
        <v>415</v>
      </c>
      <c r="B164" s="9" t="s">
        <v>112</v>
      </c>
      <c r="C164" s="9" t="s">
        <v>85</v>
      </c>
      <c r="D164" s="6">
        <v>45699</v>
      </c>
      <c r="E164" s="10">
        <v>14016.21</v>
      </c>
      <c r="F164" s="9" t="s">
        <v>358</v>
      </c>
      <c r="G164" s="9" t="s">
        <v>52</v>
      </c>
      <c r="H164" s="9" t="s">
        <v>416</v>
      </c>
      <c r="I164" s="9" t="s">
        <v>360</v>
      </c>
      <c r="J164" s="9" t="s">
        <v>55</v>
      </c>
      <c r="K164" s="9" t="b">
        <v>1</v>
      </c>
      <c r="L164" s="9" t="s">
        <v>87</v>
      </c>
      <c r="M164" s="9" t="s">
        <v>57</v>
      </c>
      <c r="N164" s="9"/>
    </row>
    <row r="165" spans="1:14" ht="32" customHeight="1">
      <c r="A165" s="11" t="s">
        <v>417</v>
      </c>
      <c r="B165" s="11" t="s">
        <v>115</v>
      </c>
      <c r="C165" s="11" t="s">
        <v>90</v>
      </c>
      <c r="D165" s="12">
        <v>45703</v>
      </c>
      <c r="E165" s="13">
        <v>11938.14</v>
      </c>
      <c r="F165" s="11" t="s">
        <v>358</v>
      </c>
      <c r="G165" s="11"/>
      <c r="H165" s="11" t="s">
        <v>418</v>
      </c>
      <c r="I165" s="11" t="s">
        <v>360</v>
      </c>
      <c r="J165" s="11"/>
      <c r="K165" s="11" t="b">
        <v>0</v>
      </c>
      <c r="L165" s="11" t="s">
        <v>92</v>
      </c>
      <c r="M165" s="11" t="s">
        <v>57</v>
      </c>
      <c r="N165" s="11"/>
    </row>
  </sheetData>
  <autoFilter ref="A5:N165"/>
  <mergeCells count="2">
    <mergeCell ref="A1:N1"/>
    <mergeCell ref="A2:N2"/>
  </mergeCells>
  <printOptions horizontalCentered="1"/>
  <pageMargins left="0.3" right="0.3" top="0.45" bottom="0.55" header="0.3" footer="0.25"/>
  <pageSetup paperSize="9" fitToHeight="0" orientation="landscape"/>
  <headerFooter>
    <oddFooter>&amp;L&amp;A&amp;R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D6A8A"/>
    <pageSetUpPr autoPageBreaks="0" fitToPage="1"/>
  </sheetPr>
  <dimension ref="A1:R189"/>
  <sheetViews>
    <sheetView showGridLines="0" zoomScale="90" zoomScaleNormal="90" workbookViewId="0"/>
  </sheetViews>
  <sheetFormatPr defaultRowHeight="18" customHeight="1" outlineLevelCol="1"/>
  <cols>
    <col min="1" max="1" width="17.7109375" customWidth="1"/>
    <col min="2" max="2" width="18.7109375" customWidth="1"/>
    <col min="3" max="3" width="23.7109375" customWidth="1"/>
    <col min="4" max="4" width="25.7109375" customWidth="1"/>
    <col min="5" max="6" width="14.7109375" customWidth="1"/>
    <col min="7" max="7" width="18.7109375" customWidth="1"/>
    <col min="8" max="8" width="19.7109375" customWidth="1"/>
    <col min="9" max="18" width="20.7109375" hidden="1" customWidth="1" outlineLevel="1"/>
    <col min="19" max="19" width="2.7109375" customWidth="1" collapsed="1"/>
  </cols>
  <sheetData>
    <row r="1" spans="1:18" ht="29" customHeight="1">
      <c r="A1" s="1" t="s">
        <v>419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4" customHeight="1">
      <c r="A2" s="2" t="s">
        <v>420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5" spans="1:18" ht="38" customHeight="1">
      <c r="A5" s="8" t="s">
        <v>421</v>
      </c>
      <c r="B5" s="8" t="s">
        <v>34</v>
      </c>
      <c r="C5" s="8" t="s">
        <v>36</v>
      </c>
      <c r="D5" s="8" t="s">
        <v>35</v>
      </c>
      <c r="E5" s="8" t="s">
        <v>422</v>
      </c>
      <c r="F5" s="8" t="s">
        <v>423</v>
      </c>
      <c r="G5" s="8" t="s">
        <v>424</v>
      </c>
      <c r="H5" s="8" t="s">
        <v>425</v>
      </c>
      <c r="I5" s="8" t="s">
        <v>41</v>
      </c>
      <c r="J5" s="8" t="s">
        <v>45</v>
      </c>
      <c r="K5" s="8" t="s">
        <v>426</v>
      </c>
      <c r="L5" s="8" t="s">
        <v>427</v>
      </c>
      <c r="M5" s="8" t="s">
        <v>428</v>
      </c>
      <c r="N5" s="8" t="s">
        <v>429</v>
      </c>
      <c r="O5" s="8" t="s">
        <v>430</v>
      </c>
      <c r="P5" s="8" t="s">
        <v>431</v>
      </c>
      <c r="Q5" s="8" t="s">
        <v>432</v>
      </c>
      <c r="R5" s="8" t="s">
        <v>433</v>
      </c>
    </row>
    <row r="6" spans="1:18" ht="32" customHeight="1">
      <c r="A6" s="9" t="s">
        <v>434</v>
      </c>
      <c r="B6" s="9" t="s">
        <v>48</v>
      </c>
      <c r="C6" s="9" t="s">
        <v>50</v>
      </c>
      <c r="D6" s="9" t="s">
        <v>49</v>
      </c>
      <c r="E6" s="6">
        <v>45718.375</v>
      </c>
      <c r="F6" s="6">
        <v>45722.375</v>
      </c>
      <c r="G6" s="14">
        <f>IF(E6="","",IF(F6="",'Leia-me'!$C$10-E6,F6-E6))</f>
        <v>4.0</v>
      </c>
      <c r="H6" s="15" t="str">
        <f>IF(F6="",IF(G6&gt;'Leia-me'!$C$11,"Aberto vencido","Aberto no prazo"),IF(G6&gt;'Leia-me'!$C$11,"Fora do prazo","Dentro do prazo"))</f>
        <v>Fora do prazo</v>
      </c>
      <c r="I6" s="9" t="s">
        <v>53</v>
      </c>
      <c r="J6" s="9" t="s">
        <v>56</v>
      </c>
      <c r="K6" s="7">
        <f>--(Q6="valid")</f>
        <v>1</v>
      </c>
      <c r="L6" s="7">
        <f>--AND(K6=1,F6&lt;&gt;"")</f>
        <v>1</v>
      </c>
      <c r="M6" s="7">
        <f>--AND(K6=1,L6=1,G6&gt;'Leia-me'!$C$11)</f>
        <v>1</v>
      </c>
      <c r="N6" s="7">
        <f>--AND(K6=1,F6="")</f>
        <v>0</v>
      </c>
      <c r="O6" s="7">
        <f>--AND(N6=1,G6&gt;'Leia-me'!$C$11)</f>
        <v>0</v>
      </c>
      <c r="P6" s="16">
        <f>IF(L6=1,G6,"")</f>
        <v>4.0</v>
      </c>
      <c r="Q6" s="9" t="s">
        <v>435</v>
      </c>
      <c r="R6" s="9"/>
    </row>
    <row r="7" spans="1:18" ht="32" customHeight="1">
      <c r="A7" s="11" t="s">
        <v>436</v>
      </c>
      <c r="B7" s="11" t="s">
        <v>88</v>
      </c>
      <c r="C7" s="11" t="s">
        <v>90</v>
      </c>
      <c r="D7" s="11" t="s">
        <v>89</v>
      </c>
      <c r="E7" s="12">
        <v>45723.375</v>
      </c>
      <c r="F7" s="12">
        <v>45728.375</v>
      </c>
      <c r="G7" s="17">
        <f>IF(E7="","",IF(F7="",'Leia-me'!$C$10-E7,F7-E7))</f>
        <v>5.0</v>
      </c>
      <c r="H7" s="15" t="str">
        <f>IF(F7="",IF(G7&gt;'Leia-me'!$C$11,"Aberto vencido","Aberto no prazo"),IF(G7&gt;'Leia-me'!$C$11,"Fora do prazo","Dentro do prazo"))</f>
        <v>Fora do prazo</v>
      </c>
      <c r="I7" s="11" t="s">
        <v>91</v>
      </c>
      <c r="J7" s="11" t="s">
        <v>92</v>
      </c>
      <c r="K7" s="18">
        <f>--(Q7="valid")</f>
        <v>1</v>
      </c>
      <c r="L7" s="18">
        <f>--AND(K7=1,F7&lt;&gt;"")</f>
        <v>1</v>
      </c>
      <c r="M7" s="18">
        <f>--AND(K7=1,L7=1,G7&gt;'Leia-me'!$C$11)</f>
        <v>1</v>
      </c>
      <c r="N7" s="18">
        <f>--AND(K7=1,F7="")</f>
        <v>0</v>
      </c>
      <c r="O7" s="18">
        <f>--AND(N7=1,G7&gt;'Leia-me'!$C$11)</f>
        <v>0</v>
      </c>
      <c r="P7" s="19">
        <f>IF(L7=1,G7,"")</f>
        <v>5.0</v>
      </c>
      <c r="Q7" s="11" t="s">
        <v>435</v>
      </c>
      <c r="R7" s="11"/>
    </row>
    <row r="8" spans="1:18" ht="32" customHeight="1">
      <c r="A8" s="9" t="s">
        <v>437</v>
      </c>
      <c r="B8" s="9" t="s">
        <v>111</v>
      </c>
      <c r="C8" s="9" t="s">
        <v>85</v>
      </c>
      <c r="D8" s="9" t="s">
        <v>112</v>
      </c>
      <c r="E8" s="6">
        <v>45728.375</v>
      </c>
      <c r="F8" s="6">
        <v>45734.375</v>
      </c>
      <c r="G8" s="14">
        <f>IF(E8="","",IF(F8="",'Leia-me'!$C$10-E8,F8-E8))</f>
        <v>6.0</v>
      </c>
      <c r="H8" s="15" t="str">
        <f>IF(F8="",IF(G8&gt;'Leia-me'!$C$11,"Aberto vencido","Aberto no prazo"),IF(G8&gt;'Leia-me'!$C$11,"Fora do prazo","Dentro do prazo"))</f>
        <v>Fora do prazo</v>
      </c>
      <c r="I8" s="9" t="s">
        <v>113</v>
      </c>
      <c r="J8" s="9" t="s">
        <v>87</v>
      </c>
      <c r="K8" s="7">
        <f>--(Q8="valid")</f>
        <v>1</v>
      </c>
      <c r="L8" s="7">
        <f>--AND(K8=1,F8&lt;&gt;"")</f>
        <v>1</v>
      </c>
      <c r="M8" s="7">
        <f>--AND(K8=1,L8=1,G8&gt;'Leia-me'!$C$11)</f>
        <v>1</v>
      </c>
      <c r="N8" s="7">
        <f>--AND(K8=1,F8="")</f>
        <v>0</v>
      </c>
      <c r="O8" s="7">
        <f>--AND(N8=1,G8&gt;'Leia-me'!$C$11)</f>
        <v>0</v>
      </c>
      <c r="P8" s="16">
        <f>IF(L8=1,G8,"")</f>
        <v>6.0</v>
      </c>
      <c r="Q8" s="9" t="s">
        <v>435</v>
      </c>
      <c r="R8" s="9"/>
    </row>
    <row r="9" spans="1:18" ht="32" customHeight="1">
      <c r="A9" s="11" t="s">
        <v>438</v>
      </c>
      <c r="B9" s="11" t="s">
        <v>132</v>
      </c>
      <c r="C9" s="11" t="s">
        <v>80</v>
      </c>
      <c r="D9" s="11" t="s">
        <v>133</v>
      </c>
      <c r="E9" s="12">
        <v>45733.375</v>
      </c>
      <c r="F9" s="12">
        <v>45740.375</v>
      </c>
      <c r="G9" s="17">
        <f>IF(E9="","",IF(F9="",'Leia-me'!$C$10-E9,F9-E9))</f>
        <v>7.0</v>
      </c>
      <c r="H9" s="15" t="str">
        <f>IF(F9="",IF(G9&gt;'Leia-me'!$C$11,"Aberto vencido","Aberto no prazo"),IF(G9&gt;'Leia-me'!$C$11,"Fora do prazo","Dentro do prazo"))</f>
        <v>Fora do prazo</v>
      </c>
      <c r="I9" s="11" t="s">
        <v>134</v>
      </c>
      <c r="J9" s="11" t="s">
        <v>82</v>
      </c>
      <c r="K9" s="18">
        <f>--(Q9="valid")</f>
        <v>1</v>
      </c>
      <c r="L9" s="18">
        <f>--AND(K9=1,F9&lt;&gt;"")</f>
        <v>1</v>
      </c>
      <c r="M9" s="18">
        <f>--AND(K9=1,L9=1,G9&gt;'Leia-me'!$C$11)</f>
        <v>1</v>
      </c>
      <c r="N9" s="18">
        <f>--AND(K9=1,F9="")</f>
        <v>0</v>
      </c>
      <c r="O9" s="18">
        <f>--AND(N9=1,G9&gt;'Leia-me'!$C$11)</f>
        <v>0</v>
      </c>
      <c r="P9" s="19">
        <f>IF(L9=1,G9,"")</f>
        <v>7.0</v>
      </c>
      <c r="Q9" s="11" t="s">
        <v>435</v>
      </c>
      <c r="R9" s="11"/>
    </row>
    <row r="10" spans="1:18" ht="32" customHeight="1">
      <c r="A10" s="9" t="s">
        <v>439</v>
      </c>
      <c r="B10" s="9" t="s">
        <v>149</v>
      </c>
      <c r="C10" s="9" t="s">
        <v>75</v>
      </c>
      <c r="D10" s="9" t="s">
        <v>74</v>
      </c>
      <c r="E10" s="6">
        <v>45718.375</v>
      </c>
      <c r="F10" s="6">
        <v>45726.375</v>
      </c>
      <c r="G10" s="14">
        <f>IF(E10="","",IF(F10="",'Leia-me'!$C$10-E10,F10-E10))</f>
        <v>8.0</v>
      </c>
      <c r="H10" s="15" t="str">
        <f>IF(F10="",IF(G10&gt;'Leia-me'!$C$11,"Aberto vencido","Aberto no prazo"),IF(G10&gt;'Leia-me'!$C$11,"Fora do prazo","Dentro do prazo"))</f>
        <v>Fora do prazo</v>
      </c>
      <c r="I10" s="9" t="s">
        <v>150</v>
      </c>
      <c r="J10" s="9" t="s">
        <v>77</v>
      </c>
      <c r="K10" s="7">
        <f>--(Q10="valid")</f>
        <v>1</v>
      </c>
      <c r="L10" s="7">
        <f>--AND(K10=1,F10&lt;&gt;"")</f>
        <v>1</v>
      </c>
      <c r="M10" s="7">
        <f>--AND(K10=1,L10=1,G10&gt;'Leia-me'!$C$11)</f>
        <v>1</v>
      </c>
      <c r="N10" s="7">
        <f>--AND(K10=1,F10="")</f>
        <v>0</v>
      </c>
      <c r="O10" s="7">
        <f>--AND(N10=1,G10&gt;'Leia-me'!$C$11)</f>
        <v>0</v>
      </c>
      <c r="P10" s="16">
        <f>IF(L10=1,G10,"")</f>
        <v>8.0</v>
      </c>
      <c r="Q10" s="9" t="s">
        <v>435</v>
      </c>
      <c r="R10" s="9"/>
    </row>
    <row r="11" spans="1:18" ht="32" customHeight="1">
      <c r="A11" s="11" t="s">
        <v>440</v>
      </c>
      <c r="B11" s="11" t="s">
        <v>163</v>
      </c>
      <c r="C11" s="11" t="s">
        <v>70</v>
      </c>
      <c r="D11" s="11" t="s">
        <v>103</v>
      </c>
      <c r="E11" s="12">
        <v>45723.375</v>
      </c>
      <c r="F11" s="12">
        <v>45727.375</v>
      </c>
      <c r="G11" s="17">
        <f>IF(E11="","",IF(F11="",'Leia-me'!$C$10-E11,F11-E11))</f>
        <v>4.0</v>
      </c>
      <c r="H11" s="15" t="str">
        <f>IF(F11="",IF(G11&gt;'Leia-me'!$C$11,"Aberto vencido","Aberto no prazo"),IF(G11&gt;'Leia-me'!$C$11,"Fora do prazo","Dentro do prazo"))</f>
        <v>Fora do prazo</v>
      </c>
      <c r="I11" s="11" t="s">
        <v>164</v>
      </c>
      <c r="J11" s="11" t="s">
        <v>72</v>
      </c>
      <c r="K11" s="18">
        <f>--(Q11="valid")</f>
        <v>1</v>
      </c>
      <c r="L11" s="18">
        <f>--AND(K11=1,F11&lt;&gt;"")</f>
        <v>1</v>
      </c>
      <c r="M11" s="18">
        <f>--AND(K11=1,L11=1,G11&gt;'Leia-me'!$C$11)</f>
        <v>1</v>
      </c>
      <c r="N11" s="18">
        <f>--AND(K11=1,F11="")</f>
        <v>0</v>
      </c>
      <c r="O11" s="18">
        <f>--AND(N11=1,G11&gt;'Leia-me'!$C$11)</f>
        <v>0</v>
      </c>
      <c r="P11" s="19">
        <f>IF(L11=1,G11,"")</f>
        <v>4.0</v>
      </c>
      <c r="Q11" s="11" t="s">
        <v>435</v>
      </c>
      <c r="R11" s="11"/>
    </row>
    <row r="12" spans="1:18" ht="32" customHeight="1">
      <c r="A12" s="9" t="s">
        <v>441</v>
      </c>
      <c r="B12" s="9" t="s">
        <v>177</v>
      </c>
      <c r="C12" s="9" t="s">
        <v>65</v>
      </c>
      <c r="D12" s="9" t="s">
        <v>124</v>
      </c>
      <c r="E12" s="6">
        <v>45728.375</v>
      </c>
      <c r="F12" s="6">
        <v>45733.375</v>
      </c>
      <c r="G12" s="14">
        <f>IF(E12="","",IF(F12="",'Leia-me'!$C$10-E12,F12-E12))</f>
        <v>5.0</v>
      </c>
      <c r="H12" s="15" t="str">
        <f>IF(F12="",IF(G12&gt;'Leia-me'!$C$11,"Aberto vencido","Aberto no prazo"),IF(G12&gt;'Leia-me'!$C$11,"Fora do prazo","Dentro do prazo"))</f>
        <v>Fora do prazo</v>
      </c>
      <c r="I12" s="9" t="s">
        <v>178</v>
      </c>
      <c r="J12" s="9" t="s">
        <v>67</v>
      </c>
      <c r="K12" s="7">
        <f>--(Q12="valid")</f>
        <v>1</v>
      </c>
      <c r="L12" s="7">
        <f>--AND(K12=1,F12&lt;&gt;"")</f>
        <v>1</v>
      </c>
      <c r="M12" s="7">
        <f>--AND(K12=1,L12=1,G12&gt;'Leia-me'!$C$11)</f>
        <v>1</v>
      </c>
      <c r="N12" s="7">
        <f>--AND(K12=1,F12="")</f>
        <v>0</v>
      </c>
      <c r="O12" s="7">
        <f>--AND(N12=1,G12&gt;'Leia-me'!$C$11)</f>
        <v>0</v>
      </c>
      <c r="P12" s="16">
        <f>IF(L12=1,G12,"")</f>
        <v>5.0</v>
      </c>
      <c r="Q12" s="9" t="s">
        <v>435</v>
      </c>
      <c r="R12" s="9"/>
    </row>
    <row r="13" spans="1:18" ht="32" customHeight="1">
      <c r="A13" s="11" t="s">
        <v>442</v>
      </c>
      <c r="B13" s="11" t="s">
        <v>193</v>
      </c>
      <c r="C13" s="11" t="s">
        <v>60</v>
      </c>
      <c r="D13" s="11" t="s">
        <v>59</v>
      </c>
      <c r="E13" s="12">
        <v>45733.375</v>
      </c>
      <c r="F13" s="12">
        <v>45739.375</v>
      </c>
      <c r="G13" s="17">
        <f>IF(E13="","",IF(F13="",'Leia-me'!$C$10-E13,F13-E13))</f>
        <v>6.0</v>
      </c>
      <c r="H13" s="15" t="str">
        <f>IF(F13="",IF(G13&gt;'Leia-me'!$C$11,"Aberto vencido","Aberto no prazo"),IF(G13&gt;'Leia-me'!$C$11,"Fora do prazo","Dentro do prazo"))</f>
        <v>Fora do prazo</v>
      </c>
      <c r="I13" s="11" t="s">
        <v>194</v>
      </c>
      <c r="J13" s="11" t="s">
        <v>62</v>
      </c>
      <c r="K13" s="18">
        <f>--(Q13="valid")</f>
        <v>1</v>
      </c>
      <c r="L13" s="18">
        <f>--AND(K13=1,F13&lt;&gt;"")</f>
        <v>1</v>
      </c>
      <c r="M13" s="18">
        <f>--AND(K13=1,L13=1,G13&gt;'Leia-me'!$C$11)</f>
        <v>1</v>
      </c>
      <c r="N13" s="18">
        <f>--AND(K13=1,F13="")</f>
        <v>0</v>
      </c>
      <c r="O13" s="18">
        <f>--AND(N13=1,G13&gt;'Leia-me'!$C$11)</f>
        <v>0</v>
      </c>
      <c r="P13" s="19">
        <f>IF(L13=1,G13,"")</f>
        <v>6.0</v>
      </c>
      <c r="Q13" s="11" t="s">
        <v>435</v>
      </c>
      <c r="R13" s="11"/>
    </row>
    <row r="14" spans="1:18" ht="32" customHeight="1">
      <c r="A14" s="9" t="s">
        <v>443</v>
      </c>
      <c r="B14" s="9" t="s">
        <v>207</v>
      </c>
      <c r="C14" s="9" t="s">
        <v>50</v>
      </c>
      <c r="D14" s="9" t="s">
        <v>94</v>
      </c>
      <c r="E14" s="6">
        <v>45718.375</v>
      </c>
      <c r="F14" s="6">
        <v>45725.375</v>
      </c>
      <c r="G14" s="14">
        <f>IF(E14="","",IF(F14="",'Leia-me'!$C$10-E14,F14-E14))</f>
        <v>7.0</v>
      </c>
      <c r="H14" s="15" t="str">
        <f>IF(F14="",IF(G14&gt;'Leia-me'!$C$11,"Aberto vencido","Aberto no prazo"),IF(G14&gt;'Leia-me'!$C$11,"Fora do prazo","Dentro do prazo"))</f>
        <v>Fora do prazo</v>
      </c>
      <c r="I14" s="9" t="s">
        <v>208</v>
      </c>
      <c r="J14" s="9" t="s">
        <v>56</v>
      </c>
      <c r="K14" s="7">
        <f>--(Q14="valid")</f>
        <v>1</v>
      </c>
      <c r="L14" s="7">
        <f>--AND(K14=1,F14&lt;&gt;"")</f>
        <v>1</v>
      </c>
      <c r="M14" s="7">
        <f>--AND(K14=1,L14=1,G14&gt;'Leia-me'!$C$11)</f>
        <v>1</v>
      </c>
      <c r="N14" s="7">
        <f>--AND(K14=1,F14="")</f>
        <v>0</v>
      </c>
      <c r="O14" s="7">
        <f>--AND(N14=1,G14&gt;'Leia-me'!$C$11)</f>
        <v>0</v>
      </c>
      <c r="P14" s="16">
        <f>IF(L14=1,G14,"")</f>
        <v>7.0</v>
      </c>
      <c r="Q14" s="9" t="s">
        <v>435</v>
      </c>
      <c r="R14" s="9"/>
    </row>
    <row r="15" spans="1:18" ht="32" customHeight="1">
      <c r="A15" s="11" t="s">
        <v>444</v>
      </c>
      <c r="B15" s="11" t="s">
        <v>221</v>
      </c>
      <c r="C15" s="11" t="s">
        <v>90</v>
      </c>
      <c r="D15" s="11" t="s">
        <v>115</v>
      </c>
      <c r="E15" s="12">
        <v>45723.375</v>
      </c>
      <c r="F15" s="12">
        <v>45731.375</v>
      </c>
      <c r="G15" s="17">
        <f>IF(E15="","",IF(F15="",'Leia-me'!$C$10-E15,F15-E15))</f>
        <v>8.0</v>
      </c>
      <c r="H15" s="15" t="str">
        <f>IF(F15="",IF(G15&gt;'Leia-me'!$C$11,"Aberto vencido","Aberto no prazo"),IF(G15&gt;'Leia-me'!$C$11,"Fora do prazo","Dentro do prazo"))</f>
        <v>Fora do prazo</v>
      </c>
      <c r="I15" s="11" t="s">
        <v>222</v>
      </c>
      <c r="J15" s="11" t="s">
        <v>92</v>
      </c>
      <c r="K15" s="18">
        <f>--(Q15="valid")</f>
        <v>1</v>
      </c>
      <c r="L15" s="18">
        <f>--AND(K15=1,F15&lt;&gt;"")</f>
        <v>1</v>
      </c>
      <c r="M15" s="18">
        <f>--AND(K15=1,L15=1,G15&gt;'Leia-me'!$C$11)</f>
        <v>1</v>
      </c>
      <c r="N15" s="18">
        <f>--AND(K15=1,F15="")</f>
        <v>0</v>
      </c>
      <c r="O15" s="18">
        <f>--AND(N15=1,G15&gt;'Leia-me'!$C$11)</f>
        <v>0</v>
      </c>
      <c r="P15" s="19">
        <f>IF(L15=1,G15,"")</f>
        <v>8.0</v>
      </c>
      <c r="Q15" s="11" t="s">
        <v>435</v>
      </c>
      <c r="R15" s="11"/>
    </row>
    <row r="16" spans="1:18" ht="32" customHeight="1">
      <c r="A16" s="9" t="s">
        <v>445</v>
      </c>
      <c r="B16" s="9" t="s">
        <v>235</v>
      </c>
      <c r="C16" s="9" t="s">
        <v>85</v>
      </c>
      <c r="D16" s="9" t="s">
        <v>136</v>
      </c>
      <c r="E16" s="6">
        <v>45728.375</v>
      </c>
      <c r="F16" s="6">
        <v>45732.375</v>
      </c>
      <c r="G16" s="14">
        <f>IF(E16="","",IF(F16="",'Leia-me'!$C$10-E16,F16-E16))</f>
        <v>4.0</v>
      </c>
      <c r="H16" s="15" t="str">
        <f>IF(F16="",IF(G16&gt;'Leia-me'!$C$11,"Aberto vencido","Aberto no prazo"),IF(G16&gt;'Leia-me'!$C$11,"Fora do prazo","Dentro do prazo"))</f>
        <v>Fora do prazo</v>
      </c>
      <c r="I16" s="9" t="s">
        <v>236</v>
      </c>
      <c r="J16" s="9" t="s">
        <v>87</v>
      </c>
      <c r="K16" s="7">
        <f>--(Q16="valid")</f>
        <v>1</v>
      </c>
      <c r="L16" s="7">
        <f>--AND(K16=1,F16&lt;&gt;"")</f>
        <v>1</v>
      </c>
      <c r="M16" s="7">
        <f>--AND(K16=1,L16=1,G16&gt;'Leia-me'!$C$11)</f>
        <v>1</v>
      </c>
      <c r="N16" s="7">
        <f>--AND(K16=1,F16="")</f>
        <v>0</v>
      </c>
      <c r="O16" s="7">
        <f>--AND(N16=1,G16&gt;'Leia-me'!$C$11)</f>
        <v>0</v>
      </c>
      <c r="P16" s="16">
        <f>IF(L16=1,G16,"")</f>
        <v>4.0</v>
      </c>
      <c r="Q16" s="9" t="s">
        <v>435</v>
      </c>
      <c r="R16" s="9"/>
    </row>
    <row r="17" spans="1:18" ht="32" customHeight="1">
      <c r="A17" s="11" t="s">
        <v>446</v>
      </c>
      <c r="B17" s="11" t="s">
        <v>249</v>
      </c>
      <c r="C17" s="11" t="s">
        <v>80</v>
      </c>
      <c r="D17" s="11" t="s">
        <v>79</v>
      </c>
      <c r="E17" s="12">
        <v>45733.375</v>
      </c>
      <c r="F17" s="12">
        <v>45738.375</v>
      </c>
      <c r="G17" s="17">
        <f>IF(E17="","",IF(F17="",'Leia-me'!$C$10-E17,F17-E17))</f>
        <v>5.0</v>
      </c>
      <c r="H17" s="15" t="str">
        <f>IF(F17="",IF(G17&gt;'Leia-me'!$C$11,"Aberto vencido","Aberto no prazo"),IF(G17&gt;'Leia-me'!$C$11,"Fora do prazo","Dentro do prazo"))</f>
        <v>Fora do prazo</v>
      </c>
      <c r="I17" s="11" t="s">
        <v>250</v>
      </c>
      <c r="J17" s="11" t="s">
        <v>82</v>
      </c>
      <c r="K17" s="18">
        <f>--(Q17="valid")</f>
        <v>1</v>
      </c>
      <c r="L17" s="18">
        <f>--AND(K17=1,F17&lt;&gt;"")</f>
        <v>1</v>
      </c>
      <c r="M17" s="18">
        <f>--AND(K17=1,L17=1,G17&gt;'Leia-me'!$C$11)</f>
        <v>1</v>
      </c>
      <c r="N17" s="18">
        <f>--AND(K17=1,F17="")</f>
        <v>0</v>
      </c>
      <c r="O17" s="18">
        <f>--AND(N17=1,G17&gt;'Leia-me'!$C$11)</f>
        <v>0</v>
      </c>
      <c r="P17" s="19">
        <f>IF(L17=1,G17,"")</f>
        <v>5.0</v>
      </c>
      <c r="Q17" s="11" t="s">
        <v>435</v>
      </c>
      <c r="R17" s="11"/>
    </row>
    <row r="18" spans="1:18" ht="32" customHeight="1">
      <c r="A18" s="9" t="s">
        <v>447</v>
      </c>
      <c r="B18" s="9" t="s">
        <v>263</v>
      </c>
      <c r="C18" s="9" t="s">
        <v>75</v>
      </c>
      <c r="D18" s="9" t="s">
        <v>106</v>
      </c>
      <c r="E18" s="6">
        <v>45718.375</v>
      </c>
      <c r="F18" s="6">
        <v>45724.375</v>
      </c>
      <c r="G18" s="14">
        <f>IF(E18="","",IF(F18="",'Leia-me'!$C$10-E18,F18-E18))</f>
        <v>6.0</v>
      </c>
      <c r="H18" s="15" t="str">
        <f>IF(F18="",IF(G18&gt;'Leia-me'!$C$11,"Aberto vencido","Aberto no prazo"),IF(G18&gt;'Leia-me'!$C$11,"Fora do prazo","Dentro do prazo"))</f>
        <v>Fora do prazo</v>
      </c>
      <c r="I18" s="9" t="s">
        <v>264</v>
      </c>
      <c r="J18" s="9" t="s">
        <v>77</v>
      </c>
      <c r="K18" s="7">
        <f>--(Q18="valid")</f>
        <v>1</v>
      </c>
      <c r="L18" s="7">
        <f>--AND(K18=1,F18&lt;&gt;"")</f>
        <v>1</v>
      </c>
      <c r="M18" s="7">
        <f>--AND(K18=1,L18=1,G18&gt;'Leia-me'!$C$11)</f>
        <v>1</v>
      </c>
      <c r="N18" s="7">
        <f>--AND(K18=1,F18="")</f>
        <v>0</v>
      </c>
      <c r="O18" s="7">
        <f>--AND(N18=1,G18&gt;'Leia-me'!$C$11)</f>
        <v>0</v>
      </c>
      <c r="P18" s="16">
        <f>IF(L18=1,G18,"")</f>
        <v>6.0</v>
      </c>
      <c r="Q18" s="9" t="s">
        <v>435</v>
      </c>
      <c r="R18" s="9"/>
    </row>
    <row r="19" spans="1:18" ht="32" customHeight="1">
      <c r="A19" s="11" t="s">
        <v>448</v>
      </c>
      <c r="B19" s="11" t="s">
        <v>279</v>
      </c>
      <c r="C19" s="11" t="s">
        <v>70</v>
      </c>
      <c r="D19" s="11" t="s">
        <v>127</v>
      </c>
      <c r="E19" s="12">
        <v>45723.375</v>
      </c>
      <c r="F19" s="12">
        <v>45730.375</v>
      </c>
      <c r="G19" s="17">
        <f>IF(E19="","",IF(F19="",'Leia-me'!$C$10-E19,F19-E19))</f>
        <v>7.0</v>
      </c>
      <c r="H19" s="15" t="str">
        <f>IF(F19="",IF(G19&gt;'Leia-me'!$C$11,"Aberto vencido","Aberto no prazo"),IF(G19&gt;'Leia-me'!$C$11,"Fora do prazo","Dentro do prazo"))</f>
        <v>Fora do prazo</v>
      </c>
      <c r="I19" s="11" t="s">
        <v>280</v>
      </c>
      <c r="J19" s="11" t="s">
        <v>72</v>
      </c>
      <c r="K19" s="18">
        <f>--(Q19="valid")</f>
        <v>1</v>
      </c>
      <c r="L19" s="18">
        <f>--AND(K19=1,F19&lt;&gt;"")</f>
        <v>1</v>
      </c>
      <c r="M19" s="18">
        <f>--AND(K19=1,L19=1,G19&gt;'Leia-me'!$C$11)</f>
        <v>1</v>
      </c>
      <c r="N19" s="18">
        <f>--AND(K19=1,F19="")</f>
        <v>0</v>
      </c>
      <c r="O19" s="18">
        <f>--AND(N19=1,G19&gt;'Leia-me'!$C$11)</f>
        <v>0</v>
      </c>
      <c r="P19" s="19">
        <f>IF(L19=1,G19,"")</f>
        <v>7.0</v>
      </c>
      <c r="Q19" s="11" t="s">
        <v>435</v>
      </c>
      <c r="R19" s="11"/>
    </row>
    <row r="20" spans="1:18" ht="32" customHeight="1">
      <c r="A20" s="9" t="s">
        <v>449</v>
      </c>
      <c r="B20" s="9" t="s">
        <v>293</v>
      </c>
      <c r="C20" s="9" t="s">
        <v>65</v>
      </c>
      <c r="D20" s="9" t="s">
        <v>64</v>
      </c>
      <c r="E20" s="6">
        <v>45728.375</v>
      </c>
      <c r="F20" s="6">
        <v>45736.375</v>
      </c>
      <c r="G20" s="14">
        <f>IF(E20="","",IF(F20="",'Leia-me'!$C$10-E20,F20-E20))</f>
        <v>8.0</v>
      </c>
      <c r="H20" s="15" t="str">
        <f>IF(F20="",IF(G20&gt;'Leia-me'!$C$11,"Aberto vencido","Aberto no prazo"),IF(G20&gt;'Leia-me'!$C$11,"Fora do prazo","Dentro do prazo"))</f>
        <v>Fora do prazo</v>
      </c>
      <c r="I20" s="9" t="s">
        <v>294</v>
      </c>
      <c r="J20" s="9" t="s">
        <v>67</v>
      </c>
      <c r="K20" s="7">
        <f>--(Q20="valid")</f>
        <v>1</v>
      </c>
      <c r="L20" s="7">
        <f>--AND(K20=1,F20&lt;&gt;"")</f>
        <v>1</v>
      </c>
      <c r="M20" s="7">
        <f>--AND(K20=1,L20=1,G20&gt;'Leia-me'!$C$11)</f>
        <v>1</v>
      </c>
      <c r="N20" s="7">
        <f>--AND(K20=1,F20="")</f>
        <v>0</v>
      </c>
      <c r="O20" s="7">
        <f>--AND(N20=1,G20&gt;'Leia-me'!$C$11)</f>
        <v>0</v>
      </c>
      <c r="P20" s="16">
        <f>IF(L20=1,G20,"")</f>
        <v>8.0</v>
      </c>
      <c r="Q20" s="9" t="s">
        <v>435</v>
      </c>
      <c r="R20" s="9"/>
    </row>
    <row r="21" spans="1:18" ht="32" customHeight="1">
      <c r="A21" s="11" t="s">
        <v>450</v>
      </c>
      <c r="B21" s="11" t="s">
        <v>307</v>
      </c>
      <c r="C21" s="11" t="s">
        <v>60</v>
      </c>
      <c r="D21" s="11" t="s">
        <v>97</v>
      </c>
      <c r="E21" s="12">
        <v>45733.375</v>
      </c>
      <c r="F21" s="12">
        <v>45737.375</v>
      </c>
      <c r="G21" s="17">
        <f>IF(E21="","",IF(F21="",'Leia-me'!$C$10-E21,F21-E21))</f>
        <v>4.0</v>
      </c>
      <c r="H21" s="15" t="str">
        <f>IF(F21="",IF(G21&gt;'Leia-me'!$C$11,"Aberto vencido","Aberto no prazo"),IF(G21&gt;'Leia-me'!$C$11,"Fora do prazo","Dentro do prazo"))</f>
        <v>Fora do prazo</v>
      </c>
      <c r="I21" s="11" t="s">
        <v>308</v>
      </c>
      <c r="J21" s="11" t="s">
        <v>62</v>
      </c>
      <c r="K21" s="18">
        <f>--(Q21="valid")</f>
        <v>1</v>
      </c>
      <c r="L21" s="18">
        <f>--AND(K21=1,F21&lt;&gt;"")</f>
        <v>1</v>
      </c>
      <c r="M21" s="18">
        <f>--AND(K21=1,L21=1,G21&gt;'Leia-me'!$C$11)</f>
        <v>1</v>
      </c>
      <c r="N21" s="18">
        <f>--AND(K21=1,F21="")</f>
        <v>0</v>
      </c>
      <c r="O21" s="18">
        <f>--AND(N21=1,G21&gt;'Leia-me'!$C$11)</f>
        <v>0</v>
      </c>
      <c r="P21" s="19">
        <f>IF(L21=1,G21,"")</f>
        <v>4.0</v>
      </c>
      <c r="Q21" s="11" t="s">
        <v>435</v>
      </c>
      <c r="R21" s="11"/>
    </row>
    <row r="22" spans="1:18" ht="32" customHeight="1">
      <c r="A22" s="9" t="s">
        <v>451</v>
      </c>
      <c r="B22" s="9" t="s">
        <v>321</v>
      </c>
      <c r="C22" s="9" t="s">
        <v>50</v>
      </c>
      <c r="D22" s="9" t="s">
        <v>118</v>
      </c>
      <c r="E22" s="6">
        <v>45718.375</v>
      </c>
      <c r="F22" s="6">
        <v>45723.375</v>
      </c>
      <c r="G22" s="14">
        <f>IF(E22="","",IF(F22="",'Leia-me'!$C$10-E22,F22-E22))</f>
        <v>5.0</v>
      </c>
      <c r="H22" s="15" t="str">
        <f>IF(F22="",IF(G22&gt;'Leia-me'!$C$11,"Aberto vencido","Aberto no prazo"),IF(G22&gt;'Leia-me'!$C$11,"Fora do prazo","Dentro do prazo"))</f>
        <v>Fora do prazo</v>
      </c>
      <c r="I22" s="9" t="s">
        <v>322</v>
      </c>
      <c r="J22" s="9" t="s">
        <v>56</v>
      </c>
      <c r="K22" s="7">
        <f>--(Q22="valid")</f>
        <v>1</v>
      </c>
      <c r="L22" s="7">
        <f>--AND(K22=1,F22&lt;&gt;"")</f>
        <v>1</v>
      </c>
      <c r="M22" s="7">
        <f>--AND(K22=1,L22=1,G22&gt;'Leia-me'!$C$11)</f>
        <v>1</v>
      </c>
      <c r="N22" s="7">
        <f>--AND(K22=1,F22="")</f>
        <v>0</v>
      </c>
      <c r="O22" s="7">
        <f>--AND(N22=1,G22&gt;'Leia-me'!$C$11)</f>
        <v>0</v>
      </c>
      <c r="P22" s="16">
        <f>IF(L22=1,G22,"")</f>
        <v>5.0</v>
      </c>
      <c r="Q22" s="9" t="s">
        <v>435</v>
      </c>
      <c r="R22" s="9"/>
    </row>
    <row r="23" spans="1:18" ht="32" customHeight="1">
      <c r="A23" s="11" t="s">
        <v>452</v>
      </c>
      <c r="B23" s="11" t="s">
        <v>335</v>
      </c>
      <c r="C23" s="11" t="s">
        <v>90</v>
      </c>
      <c r="D23" s="11" t="s">
        <v>139</v>
      </c>
      <c r="E23" s="12">
        <v>45723.375</v>
      </c>
      <c r="F23" s="12">
        <v>45729.375</v>
      </c>
      <c r="G23" s="17">
        <f>IF(E23="","",IF(F23="",'Leia-me'!$C$10-E23,F23-E23))</f>
        <v>6.0</v>
      </c>
      <c r="H23" s="15" t="str">
        <f>IF(F23="",IF(G23&gt;'Leia-me'!$C$11,"Aberto vencido","Aberto no prazo"),IF(G23&gt;'Leia-me'!$C$11,"Fora do prazo","Dentro do prazo"))</f>
        <v>Fora do prazo</v>
      </c>
      <c r="I23" s="11" t="s">
        <v>336</v>
      </c>
      <c r="J23" s="11" t="s">
        <v>92</v>
      </c>
      <c r="K23" s="18">
        <f>--(Q23="valid")</f>
        <v>1</v>
      </c>
      <c r="L23" s="18">
        <f>--AND(K23=1,F23&lt;&gt;"")</f>
        <v>1</v>
      </c>
      <c r="M23" s="18">
        <f>--AND(K23=1,L23=1,G23&gt;'Leia-me'!$C$11)</f>
        <v>1</v>
      </c>
      <c r="N23" s="18">
        <f>--AND(K23=1,F23="")</f>
        <v>0</v>
      </c>
      <c r="O23" s="18">
        <f>--AND(N23=1,G23&gt;'Leia-me'!$C$11)</f>
        <v>0</v>
      </c>
      <c r="P23" s="19">
        <f>IF(L23=1,G23,"")</f>
        <v>6.0</v>
      </c>
      <c r="Q23" s="11" t="s">
        <v>435</v>
      </c>
      <c r="R23" s="11"/>
    </row>
    <row r="24" spans="1:18" ht="32" customHeight="1">
      <c r="A24" s="9" t="s">
        <v>453</v>
      </c>
      <c r="B24" s="9" t="s">
        <v>349</v>
      </c>
      <c r="C24" s="9" t="s">
        <v>85</v>
      </c>
      <c r="D24" s="9" t="s">
        <v>84</v>
      </c>
      <c r="E24" s="6">
        <v>45728.375</v>
      </c>
      <c r="F24" s="6">
        <v>45735.375</v>
      </c>
      <c r="G24" s="14">
        <f>IF(E24="","",IF(F24="",'Leia-me'!$C$10-E24,F24-E24))</f>
        <v>7.0</v>
      </c>
      <c r="H24" s="15" t="str">
        <f>IF(F24="",IF(G24&gt;'Leia-me'!$C$11,"Aberto vencido","Aberto no prazo"),IF(G24&gt;'Leia-me'!$C$11,"Fora do prazo","Dentro do prazo"))</f>
        <v>Fora do prazo</v>
      </c>
      <c r="I24" s="9" t="s">
        <v>350</v>
      </c>
      <c r="J24" s="9" t="s">
        <v>87</v>
      </c>
      <c r="K24" s="7">
        <f>--(Q24="valid")</f>
        <v>1</v>
      </c>
      <c r="L24" s="7">
        <f>--AND(K24=1,F24&lt;&gt;"")</f>
        <v>1</v>
      </c>
      <c r="M24" s="7">
        <f>--AND(K24=1,L24=1,G24&gt;'Leia-me'!$C$11)</f>
        <v>1</v>
      </c>
      <c r="N24" s="7">
        <f>--AND(K24=1,F24="")</f>
        <v>0</v>
      </c>
      <c r="O24" s="7">
        <f>--AND(N24=1,G24&gt;'Leia-me'!$C$11)</f>
        <v>0</v>
      </c>
      <c r="P24" s="16">
        <f>IF(L24=1,G24,"")</f>
        <v>7.0</v>
      </c>
      <c r="Q24" s="9" t="s">
        <v>435</v>
      </c>
      <c r="R24" s="9"/>
    </row>
    <row r="25" spans="1:18" ht="32" customHeight="1">
      <c r="A25" s="11" t="s">
        <v>454</v>
      </c>
      <c r="B25" s="11" t="s">
        <v>68</v>
      </c>
      <c r="C25" s="11" t="s">
        <v>70</v>
      </c>
      <c r="D25" s="11" t="s">
        <v>69</v>
      </c>
      <c r="E25" s="12">
        <v>45733.375</v>
      </c>
      <c r="F25" s="12">
        <v>45741.375</v>
      </c>
      <c r="G25" s="17">
        <f>IF(E25="","",IF(F25="",'Leia-me'!$C$10-E25,F25-E25))</f>
        <v>8.0</v>
      </c>
      <c r="H25" s="15" t="str">
        <f>IF(F25="",IF(G25&gt;'Leia-me'!$C$11,"Aberto vencido","Aberto no prazo"),IF(G25&gt;'Leia-me'!$C$11,"Fora do prazo","Dentro do prazo"))</f>
        <v>Fora do prazo</v>
      </c>
      <c r="I25" s="11" t="s">
        <v>71</v>
      </c>
      <c r="J25" s="11" t="s">
        <v>72</v>
      </c>
      <c r="K25" s="18">
        <f>--(Q25="valid")</f>
        <v>1</v>
      </c>
      <c r="L25" s="18">
        <f>--AND(K25=1,F25&lt;&gt;"")</f>
        <v>1</v>
      </c>
      <c r="M25" s="18">
        <f>--AND(K25=1,L25=1,G25&gt;'Leia-me'!$C$11)</f>
        <v>1</v>
      </c>
      <c r="N25" s="18">
        <f>--AND(K25=1,F25="")</f>
        <v>0</v>
      </c>
      <c r="O25" s="18">
        <f>--AND(N25=1,G25&gt;'Leia-me'!$C$11)</f>
        <v>0</v>
      </c>
      <c r="P25" s="19">
        <f>IF(L25=1,G25,"")</f>
        <v>8.0</v>
      </c>
      <c r="Q25" s="11" t="s">
        <v>435</v>
      </c>
      <c r="R25" s="11"/>
    </row>
    <row r="26" spans="1:18" ht="32" customHeight="1">
      <c r="A26" s="9" t="s">
        <v>455</v>
      </c>
      <c r="B26" s="9" t="s">
        <v>99</v>
      </c>
      <c r="C26" s="9" t="s">
        <v>65</v>
      </c>
      <c r="D26" s="9" t="s">
        <v>100</v>
      </c>
      <c r="E26" s="6">
        <v>45718.375</v>
      </c>
      <c r="F26" s="6">
        <v>45722.375</v>
      </c>
      <c r="G26" s="14">
        <f>IF(E26="","",IF(F26="",'Leia-me'!$C$10-E26,F26-E26))</f>
        <v>4.0</v>
      </c>
      <c r="H26" s="15" t="str">
        <f>IF(F26="",IF(G26&gt;'Leia-me'!$C$11,"Aberto vencido","Aberto no prazo"),IF(G26&gt;'Leia-me'!$C$11,"Fora do prazo","Dentro do prazo"))</f>
        <v>Fora do prazo</v>
      </c>
      <c r="I26" s="9" t="s">
        <v>101</v>
      </c>
      <c r="J26" s="9" t="s">
        <v>67</v>
      </c>
      <c r="K26" s="7">
        <f>--(Q26="valid")</f>
        <v>1</v>
      </c>
      <c r="L26" s="7">
        <f>--AND(K26=1,F26&lt;&gt;"")</f>
        <v>1</v>
      </c>
      <c r="M26" s="7">
        <f>--AND(K26=1,L26=1,G26&gt;'Leia-me'!$C$11)</f>
        <v>1</v>
      </c>
      <c r="N26" s="7">
        <f>--AND(K26=1,F26="")</f>
        <v>0</v>
      </c>
      <c r="O26" s="7">
        <f>--AND(N26=1,G26&gt;'Leia-me'!$C$11)</f>
        <v>0</v>
      </c>
      <c r="P26" s="16">
        <f>IF(L26=1,G26,"")</f>
        <v>4.0</v>
      </c>
      <c r="Q26" s="9" t="s">
        <v>435</v>
      </c>
      <c r="R26" s="9"/>
    </row>
    <row r="27" spans="1:18" ht="32" customHeight="1">
      <c r="A27" s="11" t="s">
        <v>456</v>
      </c>
      <c r="B27" s="11" t="s">
        <v>120</v>
      </c>
      <c r="C27" s="11" t="s">
        <v>60</v>
      </c>
      <c r="D27" s="11" t="s">
        <v>121</v>
      </c>
      <c r="E27" s="12">
        <v>45723.375</v>
      </c>
      <c r="F27" s="12">
        <v>45728.375</v>
      </c>
      <c r="G27" s="17">
        <f>IF(E27="","",IF(F27="",'Leia-me'!$C$10-E27,F27-E27))</f>
        <v>5.0</v>
      </c>
      <c r="H27" s="15" t="str">
        <f>IF(F27="",IF(G27&gt;'Leia-me'!$C$11,"Aberto vencido","Aberto no prazo"),IF(G27&gt;'Leia-me'!$C$11,"Fora do prazo","Dentro do prazo"))</f>
        <v>Fora do prazo</v>
      </c>
      <c r="I27" s="11" t="s">
        <v>122</v>
      </c>
      <c r="J27" s="11" t="s">
        <v>62</v>
      </c>
      <c r="K27" s="18">
        <f>--(Q27="valid")</f>
        <v>1</v>
      </c>
      <c r="L27" s="18">
        <f>--AND(K27=1,F27&lt;&gt;"")</f>
        <v>1</v>
      </c>
      <c r="M27" s="18">
        <f>--AND(K27=1,L27=1,G27&gt;'Leia-me'!$C$11)</f>
        <v>1</v>
      </c>
      <c r="N27" s="18">
        <f>--AND(K27=1,F27="")</f>
        <v>0</v>
      </c>
      <c r="O27" s="18">
        <f>--AND(N27=1,G27&gt;'Leia-me'!$C$11)</f>
        <v>0</v>
      </c>
      <c r="P27" s="19">
        <f>IF(L27=1,G27,"")</f>
        <v>5.0</v>
      </c>
      <c r="Q27" s="11" t="s">
        <v>435</v>
      </c>
      <c r="R27" s="11"/>
    </row>
    <row r="28" spans="1:18" ht="32" customHeight="1">
      <c r="A28" s="9" t="s">
        <v>457</v>
      </c>
      <c r="B28" s="9" t="s">
        <v>141</v>
      </c>
      <c r="C28" s="9" t="s">
        <v>50</v>
      </c>
      <c r="D28" s="9" t="s">
        <v>49</v>
      </c>
      <c r="E28" s="6">
        <v>45728.375</v>
      </c>
      <c r="F28" s="6">
        <v>45734.375</v>
      </c>
      <c r="G28" s="14">
        <f>IF(E28="","",IF(F28="",'Leia-me'!$C$10-E28,F28-E28))</f>
        <v>6.0</v>
      </c>
      <c r="H28" s="15" t="str">
        <f>IF(F28="",IF(G28&gt;'Leia-me'!$C$11,"Aberto vencido","Aberto no prazo"),IF(G28&gt;'Leia-me'!$C$11,"Fora do prazo","Dentro do prazo"))</f>
        <v>Fora do prazo</v>
      </c>
      <c r="I28" s="9" t="s">
        <v>142</v>
      </c>
      <c r="J28" s="9" t="s">
        <v>56</v>
      </c>
      <c r="K28" s="7">
        <f>--(Q28="valid")</f>
        <v>1</v>
      </c>
      <c r="L28" s="7">
        <f>--AND(K28=1,F28&lt;&gt;"")</f>
        <v>1</v>
      </c>
      <c r="M28" s="7">
        <f>--AND(K28=1,L28=1,G28&gt;'Leia-me'!$C$11)</f>
        <v>1</v>
      </c>
      <c r="N28" s="7">
        <f>--AND(K28=1,F28="")</f>
        <v>0</v>
      </c>
      <c r="O28" s="7">
        <f>--AND(N28=1,G28&gt;'Leia-me'!$C$11)</f>
        <v>0</v>
      </c>
      <c r="P28" s="16">
        <f>IF(L28=1,G28,"")</f>
        <v>6.0</v>
      </c>
      <c r="Q28" s="9" t="s">
        <v>435</v>
      </c>
      <c r="R28" s="9"/>
    </row>
    <row r="29" spans="1:18" ht="32" customHeight="1">
      <c r="A29" s="11" t="s">
        <v>458</v>
      </c>
      <c r="B29" s="11" t="s">
        <v>155</v>
      </c>
      <c r="C29" s="11" t="s">
        <v>90</v>
      </c>
      <c r="D29" s="11" t="s">
        <v>89</v>
      </c>
      <c r="E29" s="12">
        <v>45733.375</v>
      </c>
      <c r="F29" s="12">
        <v>45740.375</v>
      </c>
      <c r="G29" s="17">
        <f>IF(E29="","",IF(F29="",'Leia-me'!$C$10-E29,F29-E29))</f>
        <v>7.0</v>
      </c>
      <c r="H29" s="15" t="str">
        <f>IF(F29="",IF(G29&gt;'Leia-me'!$C$11,"Aberto vencido","Aberto no prazo"),IF(G29&gt;'Leia-me'!$C$11,"Fora do prazo","Dentro do prazo"))</f>
        <v>Fora do prazo</v>
      </c>
      <c r="I29" s="11" t="s">
        <v>156</v>
      </c>
      <c r="J29" s="11" t="s">
        <v>92</v>
      </c>
      <c r="K29" s="18">
        <f>--(Q29="valid")</f>
        <v>1</v>
      </c>
      <c r="L29" s="18">
        <f>--AND(K29=1,F29&lt;&gt;"")</f>
        <v>1</v>
      </c>
      <c r="M29" s="18">
        <f>--AND(K29=1,L29=1,G29&gt;'Leia-me'!$C$11)</f>
        <v>1</v>
      </c>
      <c r="N29" s="18">
        <f>--AND(K29=1,F29="")</f>
        <v>0</v>
      </c>
      <c r="O29" s="18">
        <f>--AND(N29=1,G29&gt;'Leia-me'!$C$11)</f>
        <v>0</v>
      </c>
      <c r="P29" s="19">
        <f>IF(L29=1,G29,"")</f>
        <v>7.0</v>
      </c>
      <c r="Q29" s="11" t="s">
        <v>435</v>
      </c>
      <c r="R29" s="11"/>
    </row>
    <row r="30" spans="1:18" ht="32" customHeight="1">
      <c r="A30" s="9" t="s">
        <v>459</v>
      </c>
      <c r="B30" s="9" t="s">
        <v>169</v>
      </c>
      <c r="C30" s="9" t="s">
        <v>85</v>
      </c>
      <c r="D30" s="9" t="s">
        <v>112</v>
      </c>
      <c r="E30" s="6">
        <v>45718.375</v>
      </c>
      <c r="F30" s="6">
        <v>45726.375</v>
      </c>
      <c r="G30" s="14">
        <f>IF(E30="","",IF(F30="",'Leia-me'!$C$10-E30,F30-E30))</f>
        <v>8.0</v>
      </c>
      <c r="H30" s="15" t="str">
        <f>IF(F30="",IF(G30&gt;'Leia-me'!$C$11,"Aberto vencido","Aberto no prazo"),IF(G30&gt;'Leia-me'!$C$11,"Fora do prazo","Dentro do prazo"))</f>
        <v>Fora do prazo</v>
      </c>
      <c r="I30" s="9" t="s">
        <v>170</v>
      </c>
      <c r="J30" s="9" t="s">
        <v>87</v>
      </c>
      <c r="K30" s="7">
        <f>--(Q30="valid")</f>
        <v>1</v>
      </c>
      <c r="L30" s="7">
        <f>--AND(K30=1,F30&lt;&gt;"")</f>
        <v>1</v>
      </c>
      <c r="M30" s="7">
        <f>--AND(K30=1,L30=1,G30&gt;'Leia-me'!$C$11)</f>
        <v>1</v>
      </c>
      <c r="N30" s="7">
        <f>--AND(K30=1,F30="")</f>
        <v>0</v>
      </c>
      <c r="O30" s="7">
        <f>--AND(N30=1,G30&gt;'Leia-me'!$C$11)</f>
        <v>0</v>
      </c>
      <c r="P30" s="16">
        <f>IF(L30=1,G30,"")</f>
        <v>8.0</v>
      </c>
      <c r="Q30" s="9" t="s">
        <v>435</v>
      </c>
      <c r="R30" s="9"/>
    </row>
    <row r="31" spans="1:18" ht="32" customHeight="1">
      <c r="A31" s="11" t="s">
        <v>460</v>
      </c>
      <c r="B31" s="11" t="s">
        <v>183</v>
      </c>
      <c r="C31" s="11" t="s">
        <v>80</v>
      </c>
      <c r="D31" s="11" t="s">
        <v>133</v>
      </c>
      <c r="E31" s="12">
        <v>45723.375</v>
      </c>
      <c r="F31" s="12">
        <v>45727.375</v>
      </c>
      <c r="G31" s="17">
        <f>IF(E31="","",IF(F31="",'Leia-me'!$C$10-E31,F31-E31))</f>
        <v>4.0</v>
      </c>
      <c r="H31" s="15" t="str">
        <f>IF(F31="",IF(G31&gt;'Leia-me'!$C$11,"Aberto vencido","Aberto no prazo"),IF(G31&gt;'Leia-me'!$C$11,"Fora do prazo","Dentro do prazo"))</f>
        <v>Fora do prazo</v>
      </c>
      <c r="I31" s="11" t="s">
        <v>185</v>
      </c>
      <c r="J31" s="11" t="s">
        <v>82</v>
      </c>
      <c r="K31" s="18">
        <f>--(Q31="valid")</f>
        <v>1</v>
      </c>
      <c r="L31" s="18">
        <f>--AND(K31=1,F31&lt;&gt;"")</f>
        <v>1</v>
      </c>
      <c r="M31" s="18">
        <f>--AND(K31=1,L31=1,G31&gt;'Leia-me'!$C$11)</f>
        <v>1</v>
      </c>
      <c r="N31" s="18">
        <f>--AND(K31=1,F31="")</f>
        <v>0</v>
      </c>
      <c r="O31" s="18">
        <f>--AND(N31=1,G31&gt;'Leia-me'!$C$11)</f>
        <v>0</v>
      </c>
      <c r="P31" s="19">
        <f>IF(L31=1,G31,"")</f>
        <v>4.0</v>
      </c>
      <c r="Q31" s="11" t="s">
        <v>435</v>
      </c>
      <c r="R31" s="11"/>
    </row>
    <row r="32" spans="1:18" ht="32" customHeight="1">
      <c r="A32" s="9" t="s">
        <v>461</v>
      </c>
      <c r="B32" s="9" t="s">
        <v>199</v>
      </c>
      <c r="C32" s="9" t="s">
        <v>75</v>
      </c>
      <c r="D32" s="9" t="s">
        <v>74</v>
      </c>
      <c r="E32" s="6">
        <v>45728.375</v>
      </c>
      <c r="F32" s="6">
        <v>45733.375</v>
      </c>
      <c r="G32" s="14">
        <f>IF(E32="","",IF(F32="",'Leia-me'!$C$10-E32,F32-E32))</f>
        <v>5.0</v>
      </c>
      <c r="H32" s="15" t="str">
        <f>IF(F32="",IF(G32&gt;'Leia-me'!$C$11,"Aberto vencido","Aberto no prazo"),IF(G32&gt;'Leia-me'!$C$11,"Fora do prazo","Dentro do prazo"))</f>
        <v>Fora do prazo</v>
      </c>
      <c r="I32" s="9" t="s">
        <v>200</v>
      </c>
      <c r="J32" s="9" t="s">
        <v>77</v>
      </c>
      <c r="K32" s="7">
        <f>--(Q32="valid")</f>
        <v>1</v>
      </c>
      <c r="L32" s="7">
        <f>--AND(K32=1,F32&lt;&gt;"")</f>
        <v>1</v>
      </c>
      <c r="M32" s="7">
        <f>--AND(K32=1,L32=1,G32&gt;'Leia-me'!$C$11)</f>
        <v>1</v>
      </c>
      <c r="N32" s="7">
        <f>--AND(K32=1,F32="")</f>
        <v>0</v>
      </c>
      <c r="O32" s="7">
        <f>--AND(N32=1,G32&gt;'Leia-me'!$C$11)</f>
        <v>0</v>
      </c>
      <c r="P32" s="16">
        <f>IF(L32=1,G32,"")</f>
        <v>5.0</v>
      </c>
      <c r="Q32" s="9" t="s">
        <v>435</v>
      </c>
      <c r="R32" s="9"/>
    </row>
    <row r="33" spans="1:18" ht="32" customHeight="1">
      <c r="A33" s="11" t="s">
        <v>462</v>
      </c>
      <c r="B33" s="11" t="s">
        <v>213</v>
      </c>
      <c r="C33" s="11" t="s">
        <v>70</v>
      </c>
      <c r="D33" s="11" t="s">
        <v>103</v>
      </c>
      <c r="E33" s="12">
        <v>45733.375</v>
      </c>
      <c r="F33" s="12">
        <v>45739.375</v>
      </c>
      <c r="G33" s="17">
        <f>IF(E33="","",IF(F33="",'Leia-me'!$C$10-E33,F33-E33))</f>
        <v>6.0</v>
      </c>
      <c r="H33" s="15" t="str">
        <f>IF(F33="",IF(G33&gt;'Leia-me'!$C$11,"Aberto vencido","Aberto no prazo"),IF(G33&gt;'Leia-me'!$C$11,"Fora do prazo","Dentro do prazo"))</f>
        <v>Fora do prazo</v>
      </c>
      <c r="I33" s="11" t="s">
        <v>214</v>
      </c>
      <c r="J33" s="11" t="s">
        <v>72</v>
      </c>
      <c r="K33" s="18">
        <f>--(Q33="valid")</f>
        <v>1</v>
      </c>
      <c r="L33" s="18">
        <f>--AND(K33=1,F33&lt;&gt;"")</f>
        <v>1</v>
      </c>
      <c r="M33" s="18">
        <f>--AND(K33=1,L33=1,G33&gt;'Leia-me'!$C$11)</f>
        <v>1</v>
      </c>
      <c r="N33" s="18">
        <f>--AND(K33=1,F33="")</f>
        <v>0</v>
      </c>
      <c r="O33" s="18">
        <f>--AND(N33=1,G33&gt;'Leia-me'!$C$11)</f>
        <v>0</v>
      </c>
      <c r="P33" s="19">
        <f>IF(L33=1,G33,"")</f>
        <v>6.0</v>
      </c>
      <c r="Q33" s="11" t="s">
        <v>435</v>
      </c>
      <c r="R33" s="11"/>
    </row>
    <row r="34" spans="1:18" ht="32" customHeight="1">
      <c r="A34" s="9" t="s">
        <v>463</v>
      </c>
      <c r="B34" s="9" t="s">
        <v>227</v>
      </c>
      <c r="C34" s="9" t="s">
        <v>65</v>
      </c>
      <c r="D34" s="9" t="s">
        <v>124</v>
      </c>
      <c r="E34" s="6">
        <v>45718.375</v>
      </c>
      <c r="F34" s="6">
        <v>45725.375</v>
      </c>
      <c r="G34" s="14">
        <f>IF(E34="","",IF(F34="",'Leia-me'!$C$10-E34,F34-E34))</f>
        <v>7.0</v>
      </c>
      <c r="H34" s="15" t="str">
        <f>IF(F34="",IF(G34&gt;'Leia-me'!$C$11,"Aberto vencido","Aberto no prazo"),IF(G34&gt;'Leia-me'!$C$11,"Fora do prazo","Dentro do prazo"))</f>
        <v>Fora do prazo</v>
      </c>
      <c r="I34" s="9" t="s">
        <v>228</v>
      </c>
      <c r="J34" s="9" t="s">
        <v>67</v>
      </c>
      <c r="K34" s="7">
        <f>--(Q34="valid")</f>
        <v>1</v>
      </c>
      <c r="L34" s="7">
        <f>--AND(K34=1,F34&lt;&gt;"")</f>
        <v>1</v>
      </c>
      <c r="M34" s="7">
        <f>--AND(K34=1,L34=1,G34&gt;'Leia-me'!$C$11)</f>
        <v>1</v>
      </c>
      <c r="N34" s="7">
        <f>--AND(K34=1,F34="")</f>
        <v>0</v>
      </c>
      <c r="O34" s="7">
        <f>--AND(N34=1,G34&gt;'Leia-me'!$C$11)</f>
        <v>0</v>
      </c>
      <c r="P34" s="16">
        <f>IF(L34=1,G34,"")</f>
        <v>7.0</v>
      </c>
      <c r="Q34" s="9" t="s">
        <v>435</v>
      </c>
      <c r="R34" s="9"/>
    </row>
    <row r="35" spans="1:18" ht="32" customHeight="1">
      <c r="A35" s="11" t="s">
        <v>464</v>
      </c>
      <c r="B35" s="11" t="s">
        <v>241</v>
      </c>
      <c r="C35" s="11" t="s">
        <v>60</v>
      </c>
      <c r="D35" s="11" t="s">
        <v>59</v>
      </c>
      <c r="E35" s="12">
        <v>45723.375</v>
      </c>
      <c r="F35" s="12">
        <v>45731.375</v>
      </c>
      <c r="G35" s="17">
        <f>IF(E35="","",IF(F35="",'Leia-me'!$C$10-E35,F35-E35))</f>
        <v>8.0</v>
      </c>
      <c r="H35" s="15" t="str">
        <f>IF(F35="",IF(G35&gt;'Leia-me'!$C$11,"Aberto vencido","Aberto no prazo"),IF(G35&gt;'Leia-me'!$C$11,"Fora do prazo","Dentro do prazo"))</f>
        <v>Fora do prazo</v>
      </c>
      <c r="I35" s="11" t="s">
        <v>242</v>
      </c>
      <c r="J35" s="11" t="s">
        <v>62</v>
      </c>
      <c r="K35" s="18">
        <f>--(Q35="valid")</f>
        <v>1</v>
      </c>
      <c r="L35" s="18">
        <f>--AND(K35=1,F35&lt;&gt;"")</f>
        <v>1</v>
      </c>
      <c r="M35" s="18">
        <f>--AND(K35=1,L35=1,G35&gt;'Leia-me'!$C$11)</f>
        <v>1</v>
      </c>
      <c r="N35" s="18">
        <f>--AND(K35=1,F35="")</f>
        <v>0</v>
      </c>
      <c r="O35" s="18">
        <f>--AND(N35=1,G35&gt;'Leia-me'!$C$11)</f>
        <v>0</v>
      </c>
      <c r="P35" s="19">
        <f>IF(L35=1,G35,"")</f>
        <v>8.0</v>
      </c>
      <c r="Q35" s="11" t="s">
        <v>435</v>
      </c>
      <c r="R35" s="11"/>
    </row>
    <row r="36" spans="1:18" ht="32" customHeight="1">
      <c r="A36" s="9" t="s">
        <v>465</v>
      </c>
      <c r="B36" s="9" t="s">
        <v>255</v>
      </c>
      <c r="C36" s="9" t="s">
        <v>50</v>
      </c>
      <c r="D36" s="9" t="s">
        <v>94</v>
      </c>
      <c r="E36" s="6">
        <v>45728.375</v>
      </c>
      <c r="F36" s="6">
        <v>45732.375</v>
      </c>
      <c r="G36" s="14">
        <f>IF(E36="","",IF(F36="",'Leia-me'!$C$10-E36,F36-E36))</f>
        <v>4.0</v>
      </c>
      <c r="H36" s="15" t="str">
        <f>IF(F36="",IF(G36&gt;'Leia-me'!$C$11,"Aberto vencido","Aberto no prazo"),IF(G36&gt;'Leia-me'!$C$11,"Fora do prazo","Dentro do prazo"))</f>
        <v>Fora do prazo</v>
      </c>
      <c r="I36" s="9" t="s">
        <v>256</v>
      </c>
      <c r="J36" s="9" t="s">
        <v>56</v>
      </c>
      <c r="K36" s="7">
        <f>--(Q36="valid")</f>
        <v>1</v>
      </c>
      <c r="L36" s="7">
        <f>--AND(K36=1,F36&lt;&gt;"")</f>
        <v>1</v>
      </c>
      <c r="M36" s="7">
        <f>--AND(K36=1,L36=1,G36&gt;'Leia-me'!$C$11)</f>
        <v>1</v>
      </c>
      <c r="N36" s="7">
        <f>--AND(K36=1,F36="")</f>
        <v>0</v>
      </c>
      <c r="O36" s="7">
        <f>--AND(N36=1,G36&gt;'Leia-me'!$C$11)</f>
        <v>0</v>
      </c>
      <c r="P36" s="16">
        <f>IF(L36=1,G36,"")</f>
        <v>4.0</v>
      </c>
      <c r="Q36" s="9" t="s">
        <v>435</v>
      </c>
      <c r="R36" s="9"/>
    </row>
    <row r="37" spans="1:18" ht="32" customHeight="1">
      <c r="A37" s="11" t="s">
        <v>466</v>
      </c>
      <c r="B37" s="11" t="s">
        <v>271</v>
      </c>
      <c r="C37" s="11" t="s">
        <v>90</v>
      </c>
      <c r="D37" s="11" t="s">
        <v>115</v>
      </c>
      <c r="E37" s="12">
        <v>45733.375</v>
      </c>
      <c r="F37" s="12">
        <v>45738.375</v>
      </c>
      <c r="G37" s="17">
        <f>IF(E37="","",IF(F37="",'Leia-me'!$C$10-E37,F37-E37))</f>
        <v>5.0</v>
      </c>
      <c r="H37" s="15" t="str">
        <f>IF(F37="",IF(G37&gt;'Leia-me'!$C$11,"Aberto vencido","Aberto no prazo"),IF(G37&gt;'Leia-me'!$C$11,"Fora do prazo","Dentro do prazo"))</f>
        <v>Fora do prazo</v>
      </c>
      <c r="I37" s="11" t="s">
        <v>272</v>
      </c>
      <c r="J37" s="11" t="s">
        <v>92</v>
      </c>
      <c r="K37" s="18">
        <f>--(Q37="valid")</f>
        <v>1</v>
      </c>
      <c r="L37" s="18">
        <f>--AND(K37=1,F37&lt;&gt;"")</f>
        <v>1</v>
      </c>
      <c r="M37" s="18">
        <f>--AND(K37=1,L37=1,G37&gt;'Leia-me'!$C$11)</f>
        <v>1</v>
      </c>
      <c r="N37" s="18">
        <f>--AND(K37=1,F37="")</f>
        <v>0</v>
      </c>
      <c r="O37" s="18">
        <f>--AND(N37=1,G37&gt;'Leia-me'!$C$11)</f>
        <v>0</v>
      </c>
      <c r="P37" s="19">
        <f>IF(L37=1,G37,"")</f>
        <v>5.0</v>
      </c>
      <c r="Q37" s="11" t="s">
        <v>435</v>
      </c>
      <c r="R37" s="11"/>
    </row>
    <row r="38" spans="1:18" ht="32" customHeight="1">
      <c r="A38" s="9" t="s">
        <v>467</v>
      </c>
      <c r="B38" s="9" t="s">
        <v>285</v>
      </c>
      <c r="C38" s="9" t="s">
        <v>85</v>
      </c>
      <c r="D38" s="9" t="s">
        <v>136</v>
      </c>
      <c r="E38" s="6">
        <v>45718.375</v>
      </c>
      <c r="F38" s="6">
        <v>45724.375</v>
      </c>
      <c r="G38" s="14">
        <f>IF(E38="","",IF(F38="",'Leia-me'!$C$10-E38,F38-E38))</f>
        <v>6.0</v>
      </c>
      <c r="H38" s="15" t="str">
        <f>IF(F38="",IF(G38&gt;'Leia-me'!$C$11,"Aberto vencido","Aberto no prazo"),IF(G38&gt;'Leia-me'!$C$11,"Fora do prazo","Dentro do prazo"))</f>
        <v>Fora do prazo</v>
      </c>
      <c r="I38" s="9" t="s">
        <v>286</v>
      </c>
      <c r="J38" s="9" t="s">
        <v>87</v>
      </c>
      <c r="K38" s="7">
        <f>--(Q38="valid")</f>
        <v>1</v>
      </c>
      <c r="L38" s="7">
        <f>--AND(K38=1,F38&lt;&gt;"")</f>
        <v>1</v>
      </c>
      <c r="M38" s="7">
        <f>--AND(K38=1,L38=1,G38&gt;'Leia-me'!$C$11)</f>
        <v>1</v>
      </c>
      <c r="N38" s="7">
        <f>--AND(K38=1,F38="")</f>
        <v>0</v>
      </c>
      <c r="O38" s="7">
        <f>--AND(N38=1,G38&gt;'Leia-me'!$C$11)</f>
        <v>0</v>
      </c>
      <c r="P38" s="16">
        <f>IF(L38=1,G38,"")</f>
        <v>6.0</v>
      </c>
      <c r="Q38" s="9" t="s">
        <v>435</v>
      </c>
      <c r="R38" s="9"/>
    </row>
    <row r="39" spans="1:18" ht="32" customHeight="1">
      <c r="A39" s="11" t="s">
        <v>468</v>
      </c>
      <c r="B39" s="11" t="s">
        <v>299</v>
      </c>
      <c r="C39" s="11" t="s">
        <v>80</v>
      </c>
      <c r="D39" s="11" t="s">
        <v>79</v>
      </c>
      <c r="E39" s="12">
        <v>45723.375</v>
      </c>
      <c r="F39" s="12">
        <v>45730.375</v>
      </c>
      <c r="G39" s="17">
        <f>IF(E39="","",IF(F39="",'Leia-me'!$C$10-E39,F39-E39))</f>
        <v>7.0</v>
      </c>
      <c r="H39" s="15" t="str">
        <f>IF(F39="",IF(G39&gt;'Leia-me'!$C$11,"Aberto vencido","Aberto no prazo"),IF(G39&gt;'Leia-me'!$C$11,"Fora do prazo","Dentro do prazo"))</f>
        <v>Fora do prazo</v>
      </c>
      <c r="I39" s="11" t="s">
        <v>300</v>
      </c>
      <c r="J39" s="11" t="s">
        <v>82</v>
      </c>
      <c r="K39" s="18">
        <f>--(Q39="valid")</f>
        <v>1</v>
      </c>
      <c r="L39" s="18">
        <f>--AND(K39=1,F39&lt;&gt;"")</f>
        <v>1</v>
      </c>
      <c r="M39" s="18">
        <f>--AND(K39=1,L39=1,G39&gt;'Leia-me'!$C$11)</f>
        <v>1</v>
      </c>
      <c r="N39" s="18">
        <f>--AND(K39=1,F39="")</f>
        <v>0</v>
      </c>
      <c r="O39" s="18">
        <f>--AND(N39=1,G39&gt;'Leia-me'!$C$11)</f>
        <v>0</v>
      </c>
      <c r="P39" s="19">
        <f>IF(L39=1,G39,"")</f>
        <v>7.0</v>
      </c>
      <c r="Q39" s="11" t="s">
        <v>435</v>
      </c>
      <c r="R39" s="11"/>
    </row>
    <row r="40" spans="1:18" ht="32" customHeight="1">
      <c r="A40" s="9" t="s">
        <v>469</v>
      </c>
      <c r="B40" s="9" t="s">
        <v>313</v>
      </c>
      <c r="C40" s="9" t="s">
        <v>75</v>
      </c>
      <c r="D40" s="9" t="s">
        <v>106</v>
      </c>
      <c r="E40" s="6">
        <v>45728.375</v>
      </c>
      <c r="F40" s="6">
        <v>45736.375</v>
      </c>
      <c r="G40" s="14">
        <f>IF(E40="","",IF(F40="",'Leia-me'!$C$10-E40,F40-E40))</f>
        <v>8.0</v>
      </c>
      <c r="H40" s="15" t="str">
        <f>IF(F40="",IF(G40&gt;'Leia-me'!$C$11,"Aberto vencido","Aberto no prazo"),IF(G40&gt;'Leia-me'!$C$11,"Fora do prazo","Dentro do prazo"))</f>
        <v>Fora do prazo</v>
      </c>
      <c r="I40" s="9" t="s">
        <v>314</v>
      </c>
      <c r="J40" s="9" t="s">
        <v>77</v>
      </c>
      <c r="K40" s="7">
        <f>--(Q40="valid")</f>
        <v>1</v>
      </c>
      <c r="L40" s="7">
        <f>--AND(K40=1,F40&lt;&gt;"")</f>
        <v>1</v>
      </c>
      <c r="M40" s="7">
        <f>--AND(K40=1,L40=1,G40&gt;'Leia-me'!$C$11)</f>
        <v>1</v>
      </c>
      <c r="N40" s="7">
        <f>--AND(K40=1,F40="")</f>
        <v>0</v>
      </c>
      <c r="O40" s="7">
        <f>--AND(N40=1,G40&gt;'Leia-me'!$C$11)</f>
        <v>0</v>
      </c>
      <c r="P40" s="16">
        <f>IF(L40=1,G40,"")</f>
        <v>8.0</v>
      </c>
      <c r="Q40" s="9" t="s">
        <v>435</v>
      </c>
      <c r="R40" s="9"/>
    </row>
    <row r="41" spans="1:18" ht="32" customHeight="1">
      <c r="A41" s="11" t="s">
        <v>470</v>
      </c>
      <c r="B41" s="11" t="s">
        <v>327</v>
      </c>
      <c r="C41" s="11" t="s">
        <v>70</v>
      </c>
      <c r="D41" s="11" t="s">
        <v>127</v>
      </c>
      <c r="E41" s="12">
        <v>45733.375</v>
      </c>
      <c r="F41" s="12">
        <v>45737.375</v>
      </c>
      <c r="G41" s="17">
        <f>IF(E41="","",IF(F41="",'Leia-me'!$C$10-E41,F41-E41))</f>
        <v>4.0</v>
      </c>
      <c r="H41" s="15" t="str">
        <f>IF(F41="",IF(G41&gt;'Leia-me'!$C$11,"Aberto vencido","Aberto no prazo"),IF(G41&gt;'Leia-me'!$C$11,"Fora do prazo","Dentro do prazo"))</f>
        <v>Fora do prazo</v>
      </c>
      <c r="I41" s="11" t="s">
        <v>328</v>
      </c>
      <c r="J41" s="11" t="s">
        <v>72</v>
      </c>
      <c r="K41" s="18">
        <f>--(Q41="valid")</f>
        <v>1</v>
      </c>
      <c r="L41" s="18">
        <f>--AND(K41=1,F41&lt;&gt;"")</f>
        <v>1</v>
      </c>
      <c r="M41" s="18">
        <f>--AND(K41=1,L41=1,G41&gt;'Leia-me'!$C$11)</f>
        <v>1</v>
      </c>
      <c r="N41" s="18">
        <f>--AND(K41=1,F41="")</f>
        <v>0</v>
      </c>
      <c r="O41" s="18">
        <f>--AND(N41=1,G41&gt;'Leia-me'!$C$11)</f>
        <v>0</v>
      </c>
      <c r="P41" s="19">
        <f>IF(L41=1,G41,"")</f>
        <v>4.0</v>
      </c>
      <c r="Q41" s="11" t="s">
        <v>435</v>
      </c>
      <c r="R41" s="11"/>
    </row>
    <row r="42" spans="1:18" ht="32" customHeight="1">
      <c r="A42" s="9" t="s">
        <v>471</v>
      </c>
      <c r="B42" s="9" t="s">
        <v>341</v>
      </c>
      <c r="C42" s="9" t="s">
        <v>65</v>
      </c>
      <c r="D42" s="9" t="s">
        <v>64</v>
      </c>
      <c r="E42" s="6">
        <v>45718.375</v>
      </c>
      <c r="F42" s="6">
        <v>45723.375</v>
      </c>
      <c r="G42" s="14">
        <f>IF(E42="","",IF(F42="",'Leia-me'!$C$10-E42,F42-E42))</f>
        <v>5.0</v>
      </c>
      <c r="H42" s="15" t="str">
        <f>IF(F42="",IF(G42&gt;'Leia-me'!$C$11,"Aberto vencido","Aberto no prazo"),IF(G42&gt;'Leia-me'!$C$11,"Fora do prazo","Dentro do prazo"))</f>
        <v>Fora do prazo</v>
      </c>
      <c r="I42" s="9" t="s">
        <v>342</v>
      </c>
      <c r="J42" s="9" t="s">
        <v>67</v>
      </c>
      <c r="K42" s="7">
        <f>--(Q42="valid")</f>
        <v>1</v>
      </c>
      <c r="L42" s="7">
        <f>--AND(K42=1,F42&lt;&gt;"")</f>
        <v>1</v>
      </c>
      <c r="M42" s="7">
        <f>--AND(K42=1,L42=1,G42&gt;'Leia-me'!$C$11)</f>
        <v>1</v>
      </c>
      <c r="N42" s="7">
        <f>--AND(K42=1,F42="")</f>
        <v>0</v>
      </c>
      <c r="O42" s="7">
        <f>--AND(N42=1,G42&gt;'Leia-me'!$C$11)</f>
        <v>0</v>
      </c>
      <c r="P42" s="16">
        <f>IF(L42=1,G42,"")</f>
        <v>5.0</v>
      </c>
      <c r="Q42" s="9" t="s">
        <v>435</v>
      </c>
      <c r="R42" s="9"/>
    </row>
    <row r="43" spans="1:18" ht="32" customHeight="1">
      <c r="A43" s="11" t="s">
        <v>472</v>
      </c>
      <c r="B43" s="11" t="s">
        <v>355</v>
      </c>
      <c r="C43" s="11" t="s">
        <v>60</v>
      </c>
      <c r="D43" s="11" t="s">
        <v>97</v>
      </c>
      <c r="E43" s="12">
        <v>45723.375</v>
      </c>
      <c r="F43" s="12">
        <v>45729.375</v>
      </c>
      <c r="G43" s="17">
        <f>IF(E43="","",IF(F43="",'Leia-me'!$C$10-E43,F43-E43))</f>
        <v>6.0</v>
      </c>
      <c r="H43" s="15" t="str">
        <f>IF(F43="",IF(G43&gt;'Leia-me'!$C$11,"Aberto vencido","Aberto no prazo"),IF(G43&gt;'Leia-me'!$C$11,"Fora do prazo","Dentro do prazo"))</f>
        <v>Fora do prazo</v>
      </c>
      <c r="I43" s="11" t="s">
        <v>356</v>
      </c>
      <c r="J43" s="11" t="s">
        <v>62</v>
      </c>
      <c r="K43" s="18">
        <f>--(Q43="valid")</f>
        <v>1</v>
      </c>
      <c r="L43" s="18">
        <f>--AND(K43=1,F43&lt;&gt;"")</f>
        <v>1</v>
      </c>
      <c r="M43" s="18">
        <f>--AND(K43=1,L43=1,G43&gt;'Leia-me'!$C$11)</f>
        <v>1</v>
      </c>
      <c r="N43" s="18">
        <f>--AND(K43=1,F43="")</f>
        <v>0</v>
      </c>
      <c r="O43" s="18">
        <f>--AND(N43=1,G43&gt;'Leia-me'!$C$11)</f>
        <v>0</v>
      </c>
      <c r="P43" s="19">
        <f>IF(L43=1,G43,"")</f>
        <v>6.0</v>
      </c>
      <c r="Q43" s="11" t="s">
        <v>435</v>
      </c>
      <c r="R43" s="11"/>
    </row>
    <row r="44" spans="1:18" ht="32" customHeight="1">
      <c r="A44" s="9" t="s">
        <v>473</v>
      </c>
      <c r="B44" s="9" t="s">
        <v>83</v>
      </c>
      <c r="C44" s="9" t="s">
        <v>85</v>
      </c>
      <c r="D44" s="9" t="s">
        <v>84</v>
      </c>
      <c r="E44" s="6">
        <v>45728.375</v>
      </c>
      <c r="F44" s="6">
        <v>45735.375</v>
      </c>
      <c r="G44" s="14">
        <f>IF(E44="","",IF(F44="",'Leia-me'!$C$10-E44,F44-E44))</f>
        <v>7.0</v>
      </c>
      <c r="H44" s="15" t="str">
        <f>IF(F44="",IF(G44&gt;'Leia-me'!$C$11,"Aberto vencido","Aberto no prazo"),IF(G44&gt;'Leia-me'!$C$11,"Fora do prazo","Dentro do prazo"))</f>
        <v>Fora do prazo</v>
      </c>
      <c r="I44" s="9" t="s">
        <v>86</v>
      </c>
      <c r="J44" s="9" t="s">
        <v>87</v>
      </c>
      <c r="K44" s="7">
        <f>--(Q44="valid")</f>
        <v>1</v>
      </c>
      <c r="L44" s="7">
        <f>--AND(K44=1,F44&lt;&gt;"")</f>
        <v>1</v>
      </c>
      <c r="M44" s="7">
        <f>--AND(K44=1,L44=1,G44&gt;'Leia-me'!$C$11)</f>
        <v>1</v>
      </c>
      <c r="N44" s="7">
        <f>--AND(K44=1,F44="")</f>
        <v>0</v>
      </c>
      <c r="O44" s="7">
        <f>--AND(N44=1,G44&gt;'Leia-me'!$C$11)</f>
        <v>0</v>
      </c>
      <c r="P44" s="16">
        <f>IF(L44=1,G44,"")</f>
        <v>7.0</v>
      </c>
      <c r="Q44" s="9" t="s">
        <v>435</v>
      </c>
      <c r="R44" s="9"/>
    </row>
    <row r="45" spans="1:18" ht="32" customHeight="1">
      <c r="A45" s="11" t="s">
        <v>474</v>
      </c>
      <c r="B45" s="11" t="s">
        <v>108</v>
      </c>
      <c r="C45" s="11" t="s">
        <v>80</v>
      </c>
      <c r="D45" s="11" t="s">
        <v>109</v>
      </c>
      <c r="E45" s="12">
        <v>45733.375</v>
      </c>
      <c r="F45" s="12">
        <v>45741.375</v>
      </c>
      <c r="G45" s="17">
        <f>IF(E45="","",IF(F45="",'Leia-me'!$C$10-E45,F45-E45))</f>
        <v>8.0</v>
      </c>
      <c r="H45" s="15" t="str">
        <f>IF(F45="",IF(G45&gt;'Leia-me'!$C$11,"Aberto vencido","Aberto no prazo"),IF(G45&gt;'Leia-me'!$C$11,"Fora do prazo","Dentro do prazo"))</f>
        <v>Fora do prazo</v>
      </c>
      <c r="I45" s="11" t="s">
        <v>110</v>
      </c>
      <c r="J45" s="11" t="s">
        <v>82</v>
      </c>
      <c r="K45" s="18">
        <f>--(Q45="valid")</f>
        <v>1</v>
      </c>
      <c r="L45" s="18">
        <f>--AND(K45=1,F45&lt;&gt;"")</f>
        <v>1</v>
      </c>
      <c r="M45" s="18">
        <f>--AND(K45=1,L45=1,G45&gt;'Leia-me'!$C$11)</f>
        <v>1</v>
      </c>
      <c r="N45" s="18">
        <f>--AND(K45=1,F45="")</f>
        <v>0</v>
      </c>
      <c r="O45" s="18">
        <f>--AND(N45=1,G45&gt;'Leia-me'!$C$11)</f>
        <v>0</v>
      </c>
      <c r="P45" s="19">
        <f>IF(L45=1,G45,"")</f>
        <v>8.0</v>
      </c>
      <c r="Q45" s="11" t="s">
        <v>435</v>
      </c>
      <c r="R45" s="11"/>
    </row>
    <row r="46" spans="1:18" ht="32" customHeight="1">
      <c r="A46" s="9" t="s">
        <v>475</v>
      </c>
      <c r="B46" s="9" t="s">
        <v>129</v>
      </c>
      <c r="C46" s="9" t="s">
        <v>75</v>
      </c>
      <c r="D46" s="9" t="s">
        <v>130</v>
      </c>
      <c r="E46" s="6">
        <v>45718.375</v>
      </c>
      <c r="F46" s="6">
        <v>45720.375</v>
      </c>
      <c r="G46" s="14">
        <f>IF(E46="","",IF(F46="",'Leia-me'!$C$10-E46,F46-E46))</f>
        <v>2.0</v>
      </c>
      <c r="H46" s="20" t="str">
        <f>IF(F46="",IF(G46&gt;'Leia-me'!$C$11,"Aberto vencido","Aberto no prazo"),IF(G46&gt;'Leia-me'!$C$11,"Fora do prazo","Dentro do prazo"))</f>
        <v>Dentro do prazo</v>
      </c>
      <c r="I46" s="9" t="s">
        <v>131</v>
      </c>
      <c r="J46" s="9" t="s">
        <v>77</v>
      </c>
      <c r="K46" s="7">
        <f>--(Q46="valid")</f>
        <v>1</v>
      </c>
      <c r="L46" s="7">
        <f>--AND(K46=1,F46&lt;&gt;"")</f>
        <v>1</v>
      </c>
      <c r="M46" s="7">
        <f>--AND(K46=1,L46=1,G46&gt;'Leia-me'!$C$11)</f>
        <v>0</v>
      </c>
      <c r="N46" s="7">
        <f>--AND(K46=1,F46="")</f>
        <v>0</v>
      </c>
      <c r="O46" s="7">
        <f>--AND(N46=1,G46&gt;'Leia-me'!$C$11)</f>
        <v>0</v>
      </c>
      <c r="P46" s="16">
        <f>IF(L46=1,G46,"")</f>
        <v>2.0</v>
      </c>
      <c r="Q46" s="9" t="s">
        <v>435</v>
      </c>
      <c r="R46" s="9"/>
    </row>
    <row r="47" spans="1:18" ht="32" customHeight="1">
      <c r="A47" s="11" t="s">
        <v>476</v>
      </c>
      <c r="B47" s="11" t="s">
        <v>147</v>
      </c>
      <c r="C47" s="11" t="s">
        <v>70</v>
      </c>
      <c r="D47" s="11" t="s">
        <v>69</v>
      </c>
      <c r="E47" s="12">
        <v>45723.375</v>
      </c>
      <c r="F47" s="12">
        <v>45726.375</v>
      </c>
      <c r="G47" s="17">
        <f>IF(E47="","",IF(F47="",'Leia-me'!$C$10-E47,F47-E47))</f>
        <v>3.0</v>
      </c>
      <c r="H47" s="20" t="str">
        <f>IF(F47="",IF(G47&gt;'Leia-me'!$C$11,"Aberto vencido","Aberto no prazo"),IF(G47&gt;'Leia-me'!$C$11,"Fora do prazo","Dentro do prazo"))</f>
        <v>Dentro do prazo</v>
      </c>
      <c r="I47" s="11" t="s">
        <v>148</v>
      </c>
      <c r="J47" s="11" t="s">
        <v>72</v>
      </c>
      <c r="K47" s="18">
        <f>--(Q47="valid")</f>
        <v>1</v>
      </c>
      <c r="L47" s="18">
        <f>--AND(K47=1,F47&lt;&gt;"")</f>
        <v>1</v>
      </c>
      <c r="M47" s="18">
        <f>--AND(K47=1,L47=1,G47&gt;'Leia-me'!$C$11)</f>
        <v>0</v>
      </c>
      <c r="N47" s="18">
        <f>--AND(K47=1,F47="")</f>
        <v>0</v>
      </c>
      <c r="O47" s="18">
        <f>--AND(N47=1,G47&gt;'Leia-me'!$C$11)</f>
        <v>0</v>
      </c>
      <c r="P47" s="19">
        <f>IF(L47=1,G47,"")</f>
        <v>3.0</v>
      </c>
      <c r="Q47" s="11" t="s">
        <v>435</v>
      </c>
      <c r="R47" s="11"/>
    </row>
    <row r="48" spans="1:18" ht="32" customHeight="1">
      <c r="A48" s="9" t="s">
        <v>477</v>
      </c>
      <c r="B48" s="9" t="s">
        <v>161</v>
      </c>
      <c r="C48" s="9" t="s">
        <v>65</v>
      </c>
      <c r="D48" s="9" t="s">
        <v>100</v>
      </c>
      <c r="E48" s="6">
        <v>45728.375</v>
      </c>
      <c r="F48" s="6">
        <v>45729.375</v>
      </c>
      <c r="G48" s="14">
        <f>IF(E48="","",IF(F48="",'Leia-me'!$C$10-E48,F48-E48))</f>
        <v>1.0</v>
      </c>
      <c r="H48" s="20" t="str">
        <f>IF(F48="",IF(G48&gt;'Leia-me'!$C$11,"Aberto vencido","Aberto no prazo"),IF(G48&gt;'Leia-me'!$C$11,"Fora do prazo","Dentro do prazo"))</f>
        <v>Dentro do prazo</v>
      </c>
      <c r="I48" s="9" t="s">
        <v>162</v>
      </c>
      <c r="J48" s="9" t="s">
        <v>67</v>
      </c>
      <c r="K48" s="7">
        <f>--(Q48="valid")</f>
        <v>1</v>
      </c>
      <c r="L48" s="7">
        <f>--AND(K48=1,F48&lt;&gt;"")</f>
        <v>1</v>
      </c>
      <c r="M48" s="7">
        <f>--AND(K48=1,L48=1,G48&gt;'Leia-me'!$C$11)</f>
        <v>0</v>
      </c>
      <c r="N48" s="7">
        <f>--AND(K48=1,F48="")</f>
        <v>0</v>
      </c>
      <c r="O48" s="7">
        <f>--AND(N48=1,G48&gt;'Leia-me'!$C$11)</f>
        <v>0</v>
      </c>
      <c r="P48" s="16">
        <f>IF(L48=1,G48,"")</f>
        <v>1.0</v>
      </c>
      <c r="Q48" s="9" t="s">
        <v>435</v>
      </c>
      <c r="R48" s="9"/>
    </row>
    <row r="49" spans="1:18" ht="32" customHeight="1">
      <c r="A49" s="11" t="s">
        <v>478</v>
      </c>
      <c r="B49" s="11" t="s">
        <v>175</v>
      </c>
      <c r="C49" s="11" t="s">
        <v>60</v>
      </c>
      <c r="D49" s="11" t="s">
        <v>121</v>
      </c>
      <c r="E49" s="12">
        <v>45733.375</v>
      </c>
      <c r="F49" s="12">
        <v>45735.375</v>
      </c>
      <c r="G49" s="17">
        <f>IF(E49="","",IF(F49="",'Leia-me'!$C$10-E49,F49-E49))</f>
        <v>2.0</v>
      </c>
      <c r="H49" s="20" t="str">
        <f>IF(F49="",IF(G49&gt;'Leia-me'!$C$11,"Aberto vencido","Aberto no prazo"),IF(G49&gt;'Leia-me'!$C$11,"Fora do prazo","Dentro do prazo"))</f>
        <v>Dentro do prazo</v>
      </c>
      <c r="I49" s="11" t="s">
        <v>176</v>
      </c>
      <c r="J49" s="11" t="s">
        <v>62</v>
      </c>
      <c r="K49" s="18">
        <f>--(Q49="valid")</f>
        <v>1</v>
      </c>
      <c r="L49" s="18">
        <f>--AND(K49=1,F49&lt;&gt;"")</f>
        <v>1</v>
      </c>
      <c r="M49" s="18">
        <f>--AND(K49=1,L49=1,G49&gt;'Leia-me'!$C$11)</f>
        <v>0</v>
      </c>
      <c r="N49" s="18">
        <f>--AND(K49=1,F49="")</f>
        <v>0</v>
      </c>
      <c r="O49" s="18">
        <f>--AND(N49=1,G49&gt;'Leia-me'!$C$11)</f>
        <v>0</v>
      </c>
      <c r="P49" s="19">
        <f>IF(L49=1,G49,"")</f>
        <v>2.0</v>
      </c>
      <c r="Q49" s="11" t="s">
        <v>435</v>
      </c>
      <c r="R49" s="11"/>
    </row>
    <row r="50" spans="1:18" ht="32" customHeight="1">
      <c r="A50" s="9" t="s">
        <v>479</v>
      </c>
      <c r="B50" s="9" t="s">
        <v>191</v>
      </c>
      <c r="C50" s="9" t="s">
        <v>50</v>
      </c>
      <c r="D50" s="9" t="s">
        <v>49</v>
      </c>
      <c r="E50" s="6">
        <v>45718.375</v>
      </c>
      <c r="F50" s="6">
        <v>45721.375</v>
      </c>
      <c r="G50" s="14">
        <f>IF(E50="","",IF(F50="",'Leia-me'!$C$10-E50,F50-E50))</f>
        <v>3.0</v>
      </c>
      <c r="H50" s="20" t="str">
        <f>IF(F50="",IF(G50&gt;'Leia-me'!$C$11,"Aberto vencido","Aberto no prazo"),IF(G50&gt;'Leia-me'!$C$11,"Fora do prazo","Dentro do prazo"))</f>
        <v>Dentro do prazo</v>
      </c>
      <c r="I50" s="9" t="s">
        <v>192</v>
      </c>
      <c r="J50" s="9" t="s">
        <v>56</v>
      </c>
      <c r="K50" s="7">
        <f>--(Q50="valid")</f>
        <v>1</v>
      </c>
      <c r="L50" s="7">
        <f>--AND(K50=1,F50&lt;&gt;"")</f>
        <v>1</v>
      </c>
      <c r="M50" s="7">
        <f>--AND(K50=1,L50=1,G50&gt;'Leia-me'!$C$11)</f>
        <v>0</v>
      </c>
      <c r="N50" s="7">
        <f>--AND(K50=1,F50="")</f>
        <v>0</v>
      </c>
      <c r="O50" s="7">
        <f>--AND(N50=1,G50&gt;'Leia-me'!$C$11)</f>
        <v>0</v>
      </c>
      <c r="P50" s="16">
        <f>IF(L50=1,G50,"")</f>
        <v>3.0</v>
      </c>
      <c r="Q50" s="9" t="s">
        <v>435</v>
      </c>
      <c r="R50" s="9"/>
    </row>
    <row r="51" spans="1:18" ht="32" customHeight="1">
      <c r="A51" s="11" t="s">
        <v>480</v>
      </c>
      <c r="B51" s="11" t="s">
        <v>205</v>
      </c>
      <c r="C51" s="11" t="s">
        <v>90</v>
      </c>
      <c r="D51" s="11" t="s">
        <v>89</v>
      </c>
      <c r="E51" s="12">
        <v>45723.375</v>
      </c>
      <c r="F51" s="12">
        <v>45724.375</v>
      </c>
      <c r="G51" s="17">
        <f>IF(E51="","",IF(F51="",'Leia-me'!$C$10-E51,F51-E51))</f>
        <v>1.0</v>
      </c>
      <c r="H51" s="20" t="str">
        <f>IF(F51="",IF(G51&gt;'Leia-me'!$C$11,"Aberto vencido","Aberto no prazo"),IF(G51&gt;'Leia-me'!$C$11,"Fora do prazo","Dentro do prazo"))</f>
        <v>Dentro do prazo</v>
      </c>
      <c r="I51" s="11" t="s">
        <v>206</v>
      </c>
      <c r="J51" s="11" t="s">
        <v>92</v>
      </c>
      <c r="K51" s="18">
        <f>--(Q51="valid")</f>
        <v>1</v>
      </c>
      <c r="L51" s="18">
        <f>--AND(K51=1,F51&lt;&gt;"")</f>
        <v>1</v>
      </c>
      <c r="M51" s="18">
        <f>--AND(K51=1,L51=1,G51&gt;'Leia-me'!$C$11)</f>
        <v>0</v>
      </c>
      <c r="N51" s="18">
        <f>--AND(K51=1,F51="")</f>
        <v>0</v>
      </c>
      <c r="O51" s="18">
        <f>--AND(N51=1,G51&gt;'Leia-me'!$C$11)</f>
        <v>0</v>
      </c>
      <c r="P51" s="19">
        <f>IF(L51=1,G51,"")</f>
        <v>1.0</v>
      </c>
      <c r="Q51" s="11" t="s">
        <v>435</v>
      </c>
      <c r="R51" s="11"/>
    </row>
    <row r="52" spans="1:18" ht="32" customHeight="1">
      <c r="A52" s="9" t="s">
        <v>481</v>
      </c>
      <c r="B52" s="9" t="s">
        <v>219</v>
      </c>
      <c r="C52" s="9" t="s">
        <v>85</v>
      </c>
      <c r="D52" s="9" t="s">
        <v>112</v>
      </c>
      <c r="E52" s="6">
        <v>45728.375</v>
      </c>
      <c r="F52" s="6">
        <v>45730.375</v>
      </c>
      <c r="G52" s="14">
        <f>IF(E52="","",IF(F52="",'Leia-me'!$C$10-E52,F52-E52))</f>
        <v>2.0</v>
      </c>
      <c r="H52" s="20" t="str">
        <f>IF(F52="",IF(G52&gt;'Leia-me'!$C$11,"Aberto vencido","Aberto no prazo"),IF(G52&gt;'Leia-me'!$C$11,"Fora do prazo","Dentro do prazo"))</f>
        <v>Dentro do prazo</v>
      </c>
      <c r="I52" s="9" t="s">
        <v>220</v>
      </c>
      <c r="J52" s="9" t="s">
        <v>87</v>
      </c>
      <c r="K52" s="7">
        <f>--(Q52="valid")</f>
        <v>1</v>
      </c>
      <c r="L52" s="7">
        <f>--AND(K52=1,F52&lt;&gt;"")</f>
        <v>1</v>
      </c>
      <c r="M52" s="7">
        <f>--AND(K52=1,L52=1,G52&gt;'Leia-me'!$C$11)</f>
        <v>0</v>
      </c>
      <c r="N52" s="7">
        <f>--AND(K52=1,F52="")</f>
        <v>0</v>
      </c>
      <c r="O52" s="7">
        <f>--AND(N52=1,G52&gt;'Leia-me'!$C$11)</f>
        <v>0</v>
      </c>
      <c r="P52" s="16">
        <f>IF(L52=1,G52,"")</f>
        <v>2.0</v>
      </c>
      <c r="Q52" s="9" t="s">
        <v>435</v>
      </c>
      <c r="R52" s="9"/>
    </row>
    <row r="53" spans="1:18" ht="32" customHeight="1">
      <c r="A53" s="11" t="s">
        <v>482</v>
      </c>
      <c r="B53" s="11" t="s">
        <v>233</v>
      </c>
      <c r="C53" s="11" t="s">
        <v>80</v>
      </c>
      <c r="D53" s="11" t="s">
        <v>133</v>
      </c>
      <c r="E53" s="12">
        <v>45733.375</v>
      </c>
      <c r="F53" s="12">
        <v>45736.375</v>
      </c>
      <c r="G53" s="17">
        <f>IF(E53="","",IF(F53="",'Leia-me'!$C$10-E53,F53-E53))</f>
        <v>3.0</v>
      </c>
      <c r="H53" s="20" t="str">
        <f>IF(F53="",IF(G53&gt;'Leia-me'!$C$11,"Aberto vencido","Aberto no prazo"),IF(G53&gt;'Leia-me'!$C$11,"Fora do prazo","Dentro do prazo"))</f>
        <v>Dentro do prazo</v>
      </c>
      <c r="I53" s="11" t="s">
        <v>234</v>
      </c>
      <c r="J53" s="11" t="s">
        <v>82</v>
      </c>
      <c r="K53" s="18">
        <f>--(Q53="valid")</f>
        <v>1</v>
      </c>
      <c r="L53" s="18">
        <f>--AND(K53=1,F53&lt;&gt;"")</f>
        <v>1</v>
      </c>
      <c r="M53" s="18">
        <f>--AND(K53=1,L53=1,G53&gt;'Leia-me'!$C$11)</f>
        <v>0</v>
      </c>
      <c r="N53" s="18">
        <f>--AND(K53=1,F53="")</f>
        <v>0</v>
      </c>
      <c r="O53" s="18">
        <f>--AND(N53=1,G53&gt;'Leia-me'!$C$11)</f>
        <v>0</v>
      </c>
      <c r="P53" s="19">
        <f>IF(L53=1,G53,"")</f>
        <v>3.0</v>
      </c>
      <c r="Q53" s="11" t="s">
        <v>435</v>
      </c>
      <c r="R53" s="11"/>
    </row>
    <row r="54" spans="1:18" ht="32" customHeight="1">
      <c r="A54" s="9" t="s">
        <v>483</v>
      </c>
      <c r="B54" s="9" t="s">
        <v>247</v>
      </c>
      <c r="C54" s="9" t="s">
        <v>75</v>
      </c>
      <c r="D54" s="9" t="s">
        <v>74</v>
      </c>
      <c r="E54" s="6">
        <v>45718.375</v>
      </c>
      <c r="F54" s="6">
        <v>45719.375</v>
      </c>
      <c r="G54" s="14">
        <f>IF(E54="","",IF(F54="",'Leia-me'!$C$10-E54,F54-E54))</f>
        <v>1.0</v>
      </c>
      <c r="H54" s="20" t="str">
        <f>IF(F54="",IF(G54&gt;'Leia-me'!$C$11,"Aberto vencido","Aberto no prazo"),IF(G54&gt;'Leia-me'!$C$11,"Fora do prazo","Dentro do prazo"))</f>
        <v>Dentro do prazo</v>
      </c>
      <c r="I54" s="9" t="s">
        <v>248</v>
      </c>
      <c r="J54" s="9" t="s">
        <v>77</v>
      </c>
      <c r="K54" s="7">
        <f>--(Q54="valid")</f>
        <v>1</v>
      </c>
      <c r="L54" s="7">
        <f>--AND(K54=1,F54&lt;&gt;"")</f>
        <v>1</v>
      </c>
      <c r="M54" s="7">
        <f>--AND(K54=1,L54=1,G54&gt;'Leia-me'!$C$11)</f>
        <v>0</v>
      </c>
      <c r="N54" s="7">
        <f>--AND(K54=1,F54="")</f>
        <v>0</v>
      </c>
      <c r="O54" s="7">
        <f>--AND(N54=1,G54&gt;'Leia-me'!$C$11)</f>
        <v>0</v>
      </c>
      <c r="P54" s="16">
        <f>IF(L54=1,G54,"")</f>
        <v>1.0</v>
      </c>
      <c r="Q54" s="9" t="s">
        <v>435</v>
      </c>
      <c r="R54" s="9"/>
    </row>
    <row r="55" spans="1:18" ht="32" customHeight="1">
      <c r="A55" s="11" t="s">
        <v>484</v>
      </c>
      <c r="B55" s="11" t="s">
        <v>261</v>
      </c>
      <c r="C55" s="11" t="s">
        <v>70</v>
      </c>
      <c r="D55" s="11" t="s">
        <v>103</v>
      </c>
      <c r="E55" s="12">
        <v>45723.375</v>
      </c>
      <c r="F55" s="12">
        <v>45725.375</v>
      </c>
      <c r="G55" s="17">
        <f>IF(E55="","",IF(F55="",'Leia-me'!$C$10-E55,F55-E55))</f>
        <v>2.0</v>
      </c>
      <c r="H55" s="20" t="str">
        <f>IF(F55="",IF(G55&gt;'Leia-me'!$C$11,"Aberto vencido","Aberto no prazo"),IF(G55&gt;'Leia-me'!$C$11,"Fora do prazo","Dentro do prazo"))</f>
        <v>Dentro do prazo</v>
      </c>
      <c r="I55" s="11" t="s">
        <v>262</v>
      </c>
      <c r="J55" s="11" t="s">
        <v>72</v>
      </c>
      <c r="K55" s="18">
        <f>--(Q55="valid")</f>
        <v>1</v>
      </c>
      <c r="L55" s="18">
        <f>--AND(K55=1,F55&lt;&gt;"")</f>
        <v>1</v>
      </c>
      <c r="M55" s="18">
        <f>--AND(K55=1,L55=1,G55&gt;'Leia-me'!$C$11)</f>
        <v>0</v>
      </c>
      <c r="N55" s="18">
        <f>--AND(K55=1,F55="")</f>
        <v>0</v>
      </c>
      <c r="O55" s="18">
        <f>--AND(N55=1,G55&gt;'Leia-me'!$C$11)</f>
        <v>0</v>
      </c>
      <c r="P55" s="19">
        <f>IF(L55=1,G55,"")</f>
        <v>2.0</v>
      </c>
      <c r="Q55" s="11" t="s">
        <v>435</v>
      </c>
      <c r="R55" s="11"/>
    </row>
    <row r="56" spans="1:18" ht="32" customHeight="1">
      <c r="A56" s="9" t="s">
        <v>485</v>
      </c>
      <c r="B56" s="9" t="s">
        <v>277</v>
      </c>
      <c r="C56" s="9" t="s">
        <v>65</v>
      </c>
      <c r="D56" s="9" t="s">
        <v>124</v>
      </c>
      <c r="E56" s="6">
        <v>45728.375</v>
      </c>
      <c r="F56" s="6">
        <v>45731.375</v>
      </c>
      <c r="G56" s="14">
        <f>IF(E56="","",IF(F56="",'Leia-me'!$C$10-E56,F56-E56))</f>
        <v>3.0</v>
      </c>
      <c r="H56" s="20" t="str">
        <f>IF(F56="",IF(G56&gt;'Leia-me'!$C$11,"Aberto vencido","Aberto no prazo"),IF(G56&gt;'Leia-me'!$C$11,"Fora do prazo","Dentro do prazo"))</f>
        <v>Dentro do prazo</v>
      </c>
      <c r="I56" s="9" t="s">
        <v>278</v>
      </c>
      <c r="J56" s="9" t="s">
        <v>67</v>
      </c>
      <c r="K56" s="7">
        <f>--(Q56="valid")</f>
        <v>1</v>
      </c>
      <c r="L56" s="7">
        <f>--AND(K56=1,F56&lt;&gt;"")</f>
        <v>1</v>
      </c>
      <c r="M56" s="7">
        <f>--AND(K56=1,L56=1,G56&gt;'Leia-me'!$C$11)</f>
        <v>0</v>
      </c>
      <c r="N56" s="7">
        <f>--AND(K56=1,F56="")</f>
        <v>0</v>
      </c>
      <c r="O56" s="7">
        <f>--AND(N56=1,G56&gt;'Leia-me'!$C$11)</f>
        <v>0</v>
      </c>
      <c r="P56" s="16">
        <f>IF(L56=1,G56,"")</f>
        <v>3.0</v>
      </c>
      <c r="Q56" s="9" t="s">
        <v>435</v>
      </c>
      <c r="R56" s="9"/>
    </row>
    <row r="57" spans="1:18" ht="32" customHeight="1">
      <c r="A57" s="11" t="s">
        <v>486</v>
      </c>
      <c r="B57" s="11" t="s">
        <v>291</v>
      </c>
      <c r="C57" s="11" t="s">
        <v>60</v>
      </c>
      <c r="D57" s="11" t="s">
        <v>59</v>
      </c>
      <c r="E57" s="12">
        <v>45733.375</v>
      </c>
      <c r="F57" s="12">
        <v>45734.375</v>
      </c>
      <c r="G57" s="17">
        <f>IF(E57="","",IF(F57="",'Leia-me'!$C$10-E57,F57-E57))</f>
        <v>1.0</v>
      </c>
      <c r="H57" s="20" t="str">
        <f>IF(F57="",IF(G57&gt;'Leia-me'!$C$11,"Aberto vencido","Aberto no prazo"),IF(G57&gt;'Leia-me'!$C$11,"Fora do prazo","Dentro do prazo"))</f>
        <v>Dentro do prazo</v>
      </c>
      <c r="I57" s="11" t="s">
        <v>292</v>
      </c>
      <c r="J57" s="11" t="s">
        <v>62</v>
      </c>
      <c r="K57" s="18">
        <f>--(Q57="valid")</f>
        <v>1</v>
      </c>
      <c r="L57" s="18">
        <f>--AND(K57=1,F57&lt;&gt;"")</f>
        <v>1</v>
      </c>
      <c r="M57" s="18">
        <f>--AND(K57=1,L57=1,G57&gt;'Leia-me'!$C$11)</f>
        <v>0</v>
      </c>
      <c r="N57" s="18">
        <f>--AND(K57=1,F57="")</f>
        <v>0</v>
      </c>
      <c r="O57" s="18">
        <f>--AND(N57=1,G57&gt;'Leia-me'!$C$11)</f>
        <v>0</v>
      </c>
      <c r="P57" s="19">
        <f>IF(L57=1,G57,"")</f>
        <v>1.0</v>
      </c>
      <c r="Q57" s="11" t="s">
        <v>435</v>
      </c>
      <c r="R57" s="11"/>
    </row>
    <row r="58" spans="1:18" ht="32" customHeight="1">
      <c r="A58" s="9" t="s">
        <v>487</v>
      </c>
      <c r="B58" s="9" t="s">
        <v>305</v>
      </c>
      <c r="C58" s="9" t="s">
        <v>50</v>
      </c>
      <c r="D58" s="9" t="s">
        <v>94</v>
      </c>
      <c r="E58" s="6">
        <v>45718.375</v>
      </c>
      <c r="F58" s="6">
        <v>45720.375</v>
      </c>
      <c r="G58" s="14">
        <f>IF(E58="","",IF(F58="",'Leia-me'!$C$10-E58,F58-E58))</f>
        <v>2.0</v>
      </c>
      <c r="H58" s="20" t="str">
        <f>IF(F58="",IF(G58&gt;'Leia-me'!$C$11,"Aberto vencido","Aberto no prazo"),IF(G58&gt;'Leia-me'!$C$11,"Fora do prazo","Dentro do prazo"))</f>
        <v>Dentro do prazo</v>
      </c>
      <c r="I58" s="9" t="s">
        <v>306</v>
      </c>
      <c r="J58" s="9" t="s">
        <v>56</v>
      </c>
      <c r="K58" s="7">
        <f>--(Q58="valid")</f>
        <v>1</v>
      </c>
      <c r="L58" s="7">
        <f>--AND(K58=1,F58&lt;&gt;"")</f>
        <v>1</v>
      </c>
      <c r="M58" s="7">
        <f>--AND(K58=1,L58=1,G58&gt;'Leia-me'!$C$11)</f>
        <v>0</v>
      </c>
      <c r="N58" s="7">
        <f>--AND(K58=1,F58="")</f>
        <v>0</v>
      </c>
      <c r="O58" s="7">
        <f>--AND(N58=1,G58&gt;'Leia-me'!$C$11)</f>
        <v>0</v>
      </c>
      <c r="P58" s="16">
        <f>IF(L58=1,G58,"")</f>
        <v>2.0</v>
      </c>
      <c r="Q58" s="9" t="s">
        <v>435</v>
      </c>
      <c r="R58" s="9"/>
    </row>
    <row r="59" spans="1:18" ht="32" customHeight="1">
      <c r="A59" s="11" t="s">
        <v>488</v>
      </c>
      <c r="B59" s="11" t="s">
        <v>319</v>
      </c>
      <c r="C59" s="11" t="s">
        <v>90</v>
      </c>
      <c r="D59" s="11" t="s">
        <v>115</v>
      </c>
      <c r="E59" s="12">
        <v>45723.375</v>
      </c>
      <c r="F59" s="12">
        <v>45726.375</v>
      </c>
      <c r="G59" s="17">
        <f>IF(E59="","",IF(F59="",'Leia-me'!$C$10-E59,F59-E59))</f>
        <v>3.0</v>
      </c>
      <c r="H59" s="20" t="str">
        <f>IF(F59="",IF(G59&gt;'Leia-me'!$C$11,"Aberto vencido","Aberto no prazo"),IF(G59&gt;'Leia-me'!$C$11,"Fora do prazo","Dentro do prazo"))</f>
        <v>Dentro do prazo</v>
      </c>
      <c r="I59" s="11" t="s">
        <v>320</v>
      </c>
      <c r="J59" s="11" t="s">
        <v>92</v>
      </c>
      <c r="K59" s="18">
        <f>--(Q59="valid")</f>
        <v>1</v>
      </c>
      <c r="L59" s="18">
        <f>--AND(K59=1,F59&lt;&gt;"")</f>
        <v>1</v>
      </c>
      <c r="M59" s="18">
        <f>--AND(K59=1,L59=1,G59&gt;'Leia-me'!$C$11)</f>
        <v>0</v>
      </c>
      <c r="N59" s="18">
        <f>--AND(K59=1,F59="")</f>
        <v>0</v>
      </c>
      <c r="O59" s="18">
        <f>--AND(N59=1,G59&gt;'Leia-me'!$C$11)</f>
        <v>0</v>
      </c>
      <c r="P59" s="19">
        <f>IF(L59=1,G59,"")</f>
        <v>3.0</v>
      </c>
      <c r="Q59" s="11" t="s">
        <v>435</v>
      </c>
      <c r="R59" s="11"/>
    </row>
    <row r="60" spans="1:18" ht="32" customHeight="1">
      <c r="A60" s="9" t="s">
        <v>489</v>
      </c>
      <c r="B60" s="9" t="s">
        <v>333</v>
      </c>
      <c r="C60" s="9" t="s">
        <v>85</v>
      </c>
      <c r="D60" s="9" t="s">
        <v>136</v>
      </c>
      <c r="E60" s="6">
        <v>45728.375</v>
      </c>
      <c r="F60" s="6">
        <v>45729.375</v>
      </c>
      <c r="G60" s="14">
        <f>IF(E60="","",IF(F60="",'Leia-me'!$C$10-E60,F60-E60))</f>
        <v>1.0</v>
      </c>
      <c r="H60" s="20" t="str">
        <f>IF(F60="",IF(G60&gt;'Leia-me'!$C$11,"Aberto vencido","Aberto no prazo"),IF(G60&gt;'Leia-me'!$C$11,"Fora do prazo","Dentro do prazo"))</f>
        <v>Dentro do prazo</v>
      </c>
      <c r="I60" s="9" t="s">
        <v>334</v>
      </c>
      <c r="J60" s="9" t="s">
        <v>87</v>
      </c>
      <c r="K60" s="7">
        <f>--(Q60="valid")</f>
        <v>1</v>
      </c>
      <c r="L60" s="7">
        <f>--AND(K60=1,F60&lt;&gt;"")</f>
        <v>1</v>
      </c>
      <c r="M60" s="7">
        <f>--AND(K60=1,L60=1,G60&gt;'Leia-me'!$C$11)</f>
        <v>0</v>
      </c>
      <c r="N60" s="7">
        <f>--AND(K60=1,F60="")</f>
        <v>0</v>
      </c>
      <c r="O60" s="7">
        <f>--AND(N60=1,G60&gt;'Leia-me'!$C$11)</f>
        <v>0</v>
      </c>
      <c r="P60" s="16">
        <f>IF(L60=1,G60,"")</f>
        <v>1.0</v>
      </c>
      <c r="Q60" s="9" t="s">
        <v>435</v>
      </c>
      <c r="R60" s="9"/>
    </row>
    <row r="61" spans="1:18" ht="32" customHeight="1">
      <c r="A61" s="11" t="s">
        <v>490</v>
      </c>
      <c r="B61" s="11" t="s">
        <v>347</v>
      </c>
      <c r="C61" s="11" t="s">
        <v>80</v>
      </c>
      <c r="D61" s="11" t="s">
        <v>79</v>
      </c>
      <c r="E61" s="12">
        <v>45733.375</v>
      </c>
      <c r="F61" s="12">
        <v>45735.375</v>
      </c>
      <c r="G61" s="17">
        <f>IF(E61="","",IF(F61="",'Leia-me'!$C$10-E61,F61-E61))</f>
        <v>2.0</v>
      </c>
      <c r="H61" s="20" t="str">
        <f>IF(F61="",IF(G61&gt;'Leia-me'!$C$11,"Aberto vencido","Aberto no prazo"),IF(G61&gt;'Leia-me'!$C$11,"Fora do prazo","Dentro do prazo"))</f>
        <v>Dentro do prazo</v>
      </c>
      <c r="I61" s="11" t="s">
        <v>348</v>
      </c>
      <c r="J61" s="11" t="s">
        <v>82</v>
      </c>
      <c r="K61" s="18">
        <f>--(Q61="valid")</f>
        <v>1</v>
      </c>
      <c r="L61" s="18">
        <f>--AND(K61=1,F61&lt;&gt;"")</f>
        <v>1</v>
      </c>
      <c r="M61" s="18">
        <f>--AND(K61=1,L61=1,G61&gt;'Leia-me'!$C$11)</f>
        <v>0</v>
      </c>
      <c r="N61" s="18">
        <f>--AND(K61=1,F61="")</f>
        <v>0</v>
      </c>
      <c r="O61" s="18">
        <f>--AND(N61=1,G61&gt;'Leia-me'!$C$11)</f>
        <v>0</v>
      </c>
      <c r="P61" s="19">
        <f>IF(L61=1,G61,"")</f>
        <v>2.0</v>
      </c>
      <c r="Q61" s="11" t="s">
        <v>435</v>
      </c>
      <c r="R61" s="11"/>
    </row>
    <row r="62" spans="1:18" ht="32" customHeight="1">
      <c r="A62" s="9" t="s">
        <v>491</v>
      </c>
      <c r="B62" s="9" t="s">
        <v>63</v>
      </c>
      <c r="C62" s="9" t="s">
        <v>65</v>
      </c>
      <c r="D62" s="9" t="s">
        <v>64</v>
      </c>
      <c r="E62" s="6">
        <v>45718.375</v>
      </c>
      <c r="F62" s="6">
        <v>45721.375</v>
      </c>
      <c r="G62" s="14">
        <f>IF(E62="","",IF(F62="",'Leia-me'!$C$10-E62,F62-E62))</f>
        <v>3.0</v>
      </c>
      <c r="H62" s="20" t="str">
        <f>IF(F62="",IF(G62&gt;'Leia-me'!$C$11,"Aberto vencido","Aberto no prazo"),IF(G62&gt;'Leia-me'!$C$11,"Fora do prazo","Dentro do prazo"))</f>
        <v>Dentro do prazo</v>
      </c>
      <c r="I62" s="9" t="s">
        <v>66</v>
      </c>
      <c r="J62" s="9" t="s">
        <v>67</v>
      </c>
      <c r="K62" s="7">
        <f>--(Q62="valid")</f>
        <v>1</v>
      </c>
      <c r="L62" s="7">
        <f>--AND(K62=1,F62&lt;&gt;"")</f>
        <v>1</v>
      </c>
      <c r="M62" s="7">
        <f>--AND(K62=1,L62=1,G62&gt;'Leia-me'!$C$11)</f>
        <v>0</v>
      </c>
      <c r="N62" s="7">
        <f>--AND(K62=1,F62="")</f>
        <v>0</v>
      </c>
      <c r="O62" s="7">
        <f>--AND(N62=1,G62&gt;'Leia-me'!$C$11)</f>
        <v>0</v>
      </c>
      <c r="P62" s="16">
        <f>IF(L62=1,G62,"")</f>
        <v>3.0</v>
      </c>
      <c r="Q62" s="9" t="s">
        <v>435</v>
      </c>
      <c r="R62" s="9"/>
    </row>
    <row r="63" spans="1:18" ht="32" customHeight="1">
      <c r="A63" s="11" t="s">
        <v>492</v>
      </c>
      <c r="B63" s="11" t="s">
        <v>96</v>
      </c>
      <c r="C63" s="11" t="s">
        <v>60</v>
      </c>
      <c r="D63" s="11" t="s">
        <v>97</v>
      </c>
      <c r="E63" s="12">
        <v>45723.375</v>
      </c>
      <c r="F63" s="12">
        <v>45724.375</v>
      </c>
      <c r="G63" s="17">
        <f>IF(E63="","",IF(F63="",'Leia-me'!$C$10-E63,F63-E63))</f>
        <v>1.0</v>
      </c>
      <c r="H63" s="20" t="str">
        <f>IF(F63="",IF(G63&gt;'Leia-me'!$C$11,"Aberto vencido","Aberto no prazo"),IF(G63&gt;'Leia-me'!$C$11,"Fora do prazo","Dentro do prazo"))</f>
        <v>Dentro do prazo</v>
      </c>
      <c r="I63" s="11" t="s">
        <v>98</v>
      </c>
      <c r="J63" s="11" t="s">
        <v>62</v>
      </c>
      <c r="K63" s="18">
        <f>--(Q63="valid")</f>
        <v>1</v>
      </c>
      <c r="L63" s="18">
        <f>--AND(K63=1,F63&lt;&gt;"")</f>
        <v>1</v>
      </c>
      <c r="M63" s="18">
        <f>--AND(K63=1,L63=1,G63&gt;'Leia-me'!$C$11)</f>
        <v>0</v>
      </c>
      <c r="N63" s="18">
        <f>--AND(K63=1,F63="")</f>
        <v>0</v>
      </c>
      <c r="O63" s="18">
        <f>--AND(N63=1,G63&gt;'Leia-me'!$C$11)</f>
        <v>0</v>
      </c>
      <c r="P63" s="19">
        <f>IF(L63=1,G63,"")</f>
        <v>1.0</v>
      </c>
      <c r="Q63" s="11" t="s">
        <v>435</v>
      </c>
      <c r="R63" s="11"/>
    </row>
    <row r="64" spans="1:18" ht="32" customHeight="1">
      <c r="A64" s="9" t="s">
        <v>493</v>
      </c>
      <c r="B64" s="9" t="s">
        <v>117</v>
      </c>
      <c r="C64" s="9" t="s">
        <v>50</v>
      </c>
      <c r="D64" s="9" t="s">
        <v>118</v>
      </c>
      <c r="E64" s="6">
        <v>45728.375</v>
      </c>
      <c r="F64" s="6">
        <v>45730.375</v>
      </c>
      <c r="G64" s="14">
        <f>IF(E64="","",IF(F64="",'Leia-me'!$C$10-E64,F64-E64))</f>
        <v>2.0</v>
      </c>
      <c r="H64" s="20" t="str">
        <f>IF(F64="",IF(G64&gt;'Leia-me'!$C$11,"Aberto vencido","Aberto no prazo"),IF(G64&gt;'Leia-me'!$C$11,"Fora do prazo","Dentro do prazo"))</f>
        <v>Dentro do prazo</v>
      </c>
      <c r="I64" s="9" t="s">
        <v>119</v>
      </c>
      <c r="J64" s="9" t="s">
        <v>56</v>
      </c>
      <c r="K64" s="7">
        <f>--(Q64="valid")</f>
        <v>1</v>
      </c>
      <c r="L64" s="7">
        <f>--AND(K64=1,F64&lt;&gt;"")</f>
        <v>1</v>
      </c>
      <c r="M64" s="7">
        <f>--AND(K64=1,L64=1,G64&gt;'Leia-me'!$C$11)</f>
        <v>0</v>
      </c>
      <c r="N64" s="7">
        <f>--AND(K64=1,F64="")</f>
        <v>0</v>
      </c>
      <c r="O64" s="7">
        <f>--AND(N64=1,G64&gt;'Leia-me'!$C$11)</f>
        <v>0</v>
      </c>
      <c r="P64" s="16">
        <f>IF(L64=1,G64,"")</f>
        <v>2.0</v>
      </c>
      <c r="Q64" s="9" t="s">
        <v>435</v>
      </c>
      <c r="R64" s="9"/>
    </row>
    <row r="65" spans="1:18" ht="32" customHeight="1">
      <c r="A65" s="11" t="s">
        <v>494</v>
      </c>
      <c r="B65" s="11" t="s">
        <v>138</v>
      </c>
      <c r="C65" s="11" t="s">
        <v>90</v>
      </c>
      <c r="D65" s="11" t="s">
        <v>139</v>
      </c>
      <c r="E65" s="12">
        <v>45733.375</v>
      </c>
      <c r="F65" s="12">
        <v>45736.375</v>
      </c>
      <c r="G65" s="17">
        <f>IF(E65="","",IF(F65="",'Leia-me'!$C$10-E65,F65-E65))</f>
        <v>3.0</v>
      </c>
      <c r="H65" s="20" t="str">
        <f>IF(F65="",IF(G65&gt;'Leia-me'!$C$11,"Aberto vencido","Aberto no prazo"),IF(G65&gt;'Leia-me'!$C$11,"Fora do prazo","Dentro do prazo"))</f>
        <v>Dentro do prazo</v>
      </c>
      <c r="I65" s="11" t="s">
        <v>140</v>
      </c>
      <c r="J65" s="11" t="s">
        <v>92</v>
      </c>
      <c r="K65" s="18">
        <f>--(Q65="valid")</f>
        <v>1</v>
      </c>
      <c r="L65" s="18">
        <f>--AND(K65=1,F65&lt;&gt;"")</f>
        <v>1</v>
      </c>
      <c r="M65" s="18">
        <f>--AND(K65=1,L65=1,G65&gt;'Leia-me'!$C$11)</f>
        <v>0</v>
      </c>
      <c r="N65" s="18">
        <f>--AND(K65=1,F65="")</f>
        <v>0</v>
      </c>
      <c r="O65" s="18">
        <f>--AND(N65=1,G65&gt;'Leia-me'!$C$11)</f>
        <v>0</v>
      </c>
      <c r="P65" s="19">
        <f>IF(L65=1,G65,"")</f>
        <v>3.0</v>
      </c>
      <c r="Q65" s="11" t="s">
        <v>435</v>
      </c>
      <c r="R65" s="11"/>
    </row>
    <row r="66" spans="1:18" ht="32" customHeight="1">
      <c r="A66" s="9" t="s">
        <v>495</v>
      </c>
      <c r="B66" s="9" t="s">
        <v>153</v>
      </c>
      <c r="C66" s="9" t="s">
        <v>85</v>
      </c>
      <c r="D66" s="9" t="s">
        <v>84</v>
      </c>
      <c r="E66" s="6">
        <v>45718.375</v>
      </c>
      <c r="F66" s="6">
        <v>45719.375</v>
      </c>
      <c r="G66" s="14">
        <f>IF(E66="","",IF(F66="",'Leia-me'!$C$10-E66,F66-E66))</f>
        <v>1.0</v>
      </c>
      <c r="H66" s="20" t="str">
        <f>IF(F66="",IF(G66&gt;'Leia-me'!$C$11,"Aberto vencido","Aberto no prazo"),IF(G66&gt;'Leia-me'!$C$11,"Fora do prazo","Dentro do prazo"))</f>
        <v>Dentro do prazo</v>
      </c>
      <c r="I66" s="9" t="s">
        <v>154</v>
      </c>
      <c r="J66" s="9" t="s">
        <v>87</v>
      </c>
      <c r="K66" s="7">
        <f>--(Q66="valid")</f>
        <v>1</v>
      </c>
      <c r="L66" s="7">
        <f>--AND(K66=1,F66&lt;&gt;"")</f>
        <v>1</v>
      </c>
      <c r="M66" s="7">
        <f>--AND(K66=1,L66=1,G66&gt;'Leia-me'!$C$11)</f>
        <v>0</v>
      </c>
      <c r="N66" s="7">
        <f>--AND(K66=1,F66="")</f>
        <v>0</v>
      </c>
      <c r="O66" s="7">
        <f>--AND(N66=1,G66&gt;'Leia-me'!$C$11)</f>
        <v>0</v>
      </c>
      <c r="P66" s="16">
        <f>IF(L66=1,G66,"")</f>
        <v>1.0</v>
      </c>
      <c r="Q66" s="9" t="s">
        <v>435</v>
      </c>
      <c r="R66" s="9"/>
    </row>
    <row r="67" spans="1:18" ht="32" customHeight="1">
      <c r="A67" s="11" t="s">
        <v>496</v>
      </c>
      <c r="B67" s="11" t="s">
        <v>167</v>
      </c>
      <c r="C67" s="11" t="s">
        <v>80</v>
      </c>
      <c r="D67" s="11" t="s">
        <v>109</v>
      </c>
      <c r="E67" s="12">
        <v>45723.375</v>
      </c>
      <c r="F67" s="12">
        <v>45725.375</v>
      </c>
      <c r="G67" s="17">
        <f>IF(E67="","",IF(F67="",'Leia-me'!$C$10-E67,F67-E67))</f>
        <v>2.0</v>
      </c>
      <c r="H67" s="20" t="str">
        <f>IF(F67="",IF(G67&gt;'Leia-me'!$C$11,"Aberto vencido","Aberto no prazo"),IF(G67&gt;'Leia-me'!$C$11,"Fora do prazo","Dentro do prazo"))</f>
        <v>Dentro do prazo</v>
      </c>
      <c r="I67" s="11" t="s">
        <v>168</v>
      </c>
      <c r="J67" s="11" t="s">
        <v>82</v>
      </c>
      <c r="K67" s="18">
        <f>--(Q67="valid")</f>
        <v>1</v>
      </c>
      <c r="L67" s="18">
        <f>--AND(K67=1,F67&lt;&gt;"")</f>
        <v>1</v>
      </c>
      <c r="M67" s="18">
        <f>--AND(K67=1,L67=1,G67&gt;'Leia-me'!$C$11)</f>
        <v>0</v>
      </c>
      <c r="N67" s="18">
        <f>--AND(K67=1,F67="")</f>
        <v>0</v>
      </c>
      <c r="O67" s="18">
        <f>--AND(N67=1,G67&gt;'Leia-me'!$C$11)</f>
        <v>0</v>
      </c>
      <c r="P67" s="19">
        <f>IF(L67=1,G67,"")</f>
        <v>2.0</v>
      </c>
      <c r="Q67" s="11" t="s">
        <v>435</v>
      </c>
      <c r="R67" s="11"/>
    </row>
    <row r="68" spans="1:18" ht="32" customHeight="1">
      <c r="A68" s="9" t="s">
        <v>497</v>
      </c>
      <c r="B68" s="9" t="s">
        <v>181</v>
      </c>
      <c r="C68" s="9" t="s">
        <v>75</v>
      </c>
      <c r="D68" s="9" t="s">
        <v>130</v>
      </c>
      <c r="E68" s="6">
        <v>45728.375</v>
      </c>
      <c r="F68" s="6">
        <v>45731.375</v>
      </c>
      <c r="G68" s="14">
        <f>IF(E68="","",IF(F68="",'Leia-me'!$C$10-E68,F68-E68))</f>
        <v>3.0</v>
      </c>
      <c r="H68" s="20" t="str">
        <f>IF(F68="",IF(G68&gt;'Leia-me'!$C$11,"Aberto vencido","Aberto no prazo"),IF(G68&gt;'Leia-me'!$C$11,"Fora do prazo","Dentro do prazo"))</f>
        <v>Dentro do prazo</v>
      </c>
      <c r="I68" s="9" t="s">
        <v>182</v>
      </c>
      <c r="J68" s="9" t="s">
        <v>77</v>
      </c>
      <c r="K68" s="7">
        <f>--(Q68="valid")</f>
        <v>1</v>
      </c>
      <c r="L68" s="7">
        <f>--AND(K68=1,F68&lt;&gt;"")</f>
        <v>1</v>
      </c>
      <c r="M68" s="7">
        <f>--AND(K68=1,L68=1,G68&gt;'Leia-me'!$C$11)</f>
        <v>0</v>
      </c>
      <c r="N68" s="7">
        <f>--AND(K68=1,F68="")</f>
        <v>0</v>
      </c>
      <c r="O68" s="7">
        <f>--AND(N68=1,G68&gt;'Leia-me'!$C$11)</f>
        <v>0</v>
      </c>
      <c r="P68" s="16">
        <f>IF(L68=1,G68,"")</f>
        <v>3.0</v>
      </c>
      <c r="Q68" s="9" t="s">
        <v>435</v>
      </c>
      <c r="R68" s="9"/>
    </row>
    <row r="69" spans="1:18" ht="32" customHeight="1">
      <c r="A69" s="11" t="s">
        <v>498</v>
      </c>
      <c r="B69" s="11" t="s">
        <v>197</v>
      </c>
      <c r="C69" s="11" t="s">
        <v>70</v>
      </c>
      <c r="D69" s="11" t="s">
        <v>69</v>
      </c>
      <c r="E69" s="12">
        <v>45733.375</v>
      </c>
      <c r="F69" s="12">
        <v>45734.375</v>
      </c>
      <c r="G69" s="17">
        <f>IF(E69="","",IF(F69="",'Leia-me'!$C$10-E69,F69-E69))</f>
        <v>1.0</v>
      </c>
      <c r="H69" s="20" t="str">
        <f>IF(F69="",IF(G69&gt;'Leia-me'!$C$11,"Aberto vencido","Aberto no prazo"),IF(G69&gt;'Leia-me'!$C$11,"Fora do prazo","Dentro do prazo"))</f>
        <v>Dentro do prazo</v>
      </c>
      <c r="I69" s="11" t="s">
        <v>198</v>
      </c>
      <c r="J69" s="11" t="s">
        <v>72</v>
      </c>
      <c r="K69" s="18">
        <f>--(Q69="valid")</f>
        <v>1</v>
      </c>
      <c r="L69" s="18">
        <f>--AND(K69=1,F69&lt;&gt;"")</f>
        <v>1</v>
      </c>
      <c r="M69" s="18">
        <f>--AND(K69=1,L69=1,G69&gt;'Leia-me'!$C$11)</f>
        <v>0</v>
      </c>
      <c r="N69" s="18">
        <f>--AND(K69=1,F69="")</f>
        <v>0</v>
      </c>
      <c r="O69" s="18">
        <f>--AND(N69=1,G69&gt;'Leia-me'!$C$11)</f>
        <v>0</v>
      </c>
      <c r="P69" s="19">
        <f>IF(L69=1,G69,"")</f>
        <v>1.0</v>
      </c>
      <c r="Q69" s="11" t="s">
        <v>435</v>
      </c>
      <c r="R69" s="11"/>
    </row>
    <row r="70" spans="1:18" ht="32" customHeight="1">
      <c r="A70" s="9" t="s">
        <v>499</v>
      </c>
      <c r="B70" s="9" t="s">
        <v>211</v>
      </c>
      <c r="C70" s="9" t="s">
        <v>65</v>
      </c>
      <c r="D70" s="9" t="s">
        <v>100</v>
      </c>
      <c r="E70" s="6">
        <v>45718.375</v>
      </c>
      <c r="F70" s="6">
        <v>45720.375</v>
      </c>
      <c r="G70" s="14">
        <f>IF(E70="","",IF(F70="",'Leia-me'!$C$10-E70,F70-E70))</f>
        <v>2.0</v>
      </c>
      <c r="H70" s="20" t="str">
        <f>IF(F70="",IF(G70&gt;'Leia-me'!$C$11,"Aberto vencido","Aberto no prazo"),IF(G70&gt;'Leia-me'!$C$11,"Fora do prazo","Dentro do prazo"))</f>
        <v>Dentro do prazo</v>
      </c>
      <c r="I70" s="9" t="s">
        <v>212</v>
      </c>
      <c r="J70" s="9" t="s">
        <v>67</v>
      </c>
      <c r="K70" s="7">
        <f>--(Q70="valid")</f>
        <v>1</v>
      </c>
      <c r="L70" s="7">
        <f>--AND(K70=1,F70&lt;&gt;"")</f>
        <v>1</v>
      </c>
      <c r="M70" s="7">
        <f>--AND(K70=1,L70=1,G70&gt;'Leia-me'!$C$11)</f>
        <v>0</v>
      </c>
      <c r="N70" s="7">
        <f>--AND(K70=1,F70="")</f>
        <v>0</v>
      </c>
      <c r="O70" s="7">
        <f>--AND(N70=1,G70&gt;'Leia-me'!$C$11)</f>
        <v>0</v>
      </c>
      <c r="P70" s="16">
        <f>IF(L70=1,G70,"")</f>
        <v>2.0</v>
      </c>
      <c r="Q70" s="9" t="s">
        <v>435</v>
      </c>
      <c r="R70" s="9"/>
    </row>
    <row r="71" spans="1:18" ht="32" customHeight="1">
      <c r="A71" s="11" t="s">
        <v>500</v>
      </c>
      <c r="B71" s="11" t="s">
        <v>225</v>
      </c>
      <c r="C71" s="11" t="s">
        <v>60</v>
      </c>
      <c r="D71" s="11" t="s">
        <v>121</v>
      </c>
      <c r="E71" s="12">
        <v>45723.375</v>
      </c>
      <c r="F71" s="12">
        <v>45726.375</v>
      </c>
      <c r="G71" s="17">
        <f>IF(E71="","",IF(F71="",'Leia-me'!$C$10-E71,F71-E71))</f>
        <v>3.0</v>
      </c>
      <c r="H71" s="20" t="str">
        <f>IF(F71="",IF(G71&gt;'Leia-me'!$C$11,"Aberto vencido","Aberto no prazo"),IF(G71&gt;'Leia-me'!$C$11,"Fora do prazo","Dentro do prazo"))</f>
        <v>Dentro do prazo</v>
      </c>
      <c r="I71" s="11" t="s">
        <v>226</v>
      </c>
      <c r="J71" s="11" t="s">
        <v>62</v>
      </c>
      <c r="K71" s="18">
        <f>--(Q71="valid")</f>
        <v>1</v>
      </c>
      <c r="L71" s="18">
        <f>--AND(K71=1,F71&lt;&gt;"")</f>
        <v>1</v>
      </c>
      <c r="M71" s="18">
        <f>--AND(K71=1,L71=1,G71&gt;'Leia-me'!$C$11)</f>
        <v>0</v>
      </c>
      <c r="N71" s="18">
        <f>--AND(K71=1,F71="")</f>
        <v>0</v>
      </c>
      <c r="O71" s="18">
        <f>--AND(N71=1,G71&gt;'Leia-me'!$C$11)</f>
        <v>0</v>
      </c>
      <c r="P71" s="19">
        <f>IF(L71=1,G71,"")</f>
        <v>3.0</v>
      </c>
      <c r="Q71" s="11" t="s">
        <v>435</v>
      </c>
      <c r="R71" s="11"/>
    </row>
    <row r="72" spans="1:18" ht="32" customHeight="1">
      <c r="A72" s="9" t="s">
        <v>501</v>
      </c>
      <c r="B72" s="9" t="s">
        <v>239</v>
      </c>
      <c r="C72" s="9" t="s">
        <v>50</v>
      </c>
      <c r="D72" s="9" t="s">
        <v>49</v>
      </c>
      <c r="E72" s="6">
        <v>45728.375</v>
      </c>
      <c r="F72" s="6">
        <v>45729.375</v>
      </c>
      <c r="G72" s="14">
        <f>IF(E72="","",IF(F72="",'Leia-me'!$C$10-E72,F72-E72))</f>
        <v>1.0</v>
      </c>
      <c r="H72" s="20" t="str">
        <f>IF(F72="",IF(G72&gt;'Leia-me'!$C$11,"Aberto vencido","Aberto no prazo"),IF(G72&gt;'Leia-me'!$C$11,"Fora do prazo","Dentro do prazo"))</f>
        <v>Dentro do prazo</v>
      </c>
      <c r="I72" s="9" t="s">
        <v>240</v>
      </c>
      <c r="J72" s="9" t="s">
        <v>56</v>
      </c>
      <c r="K72" s="7">
        <f>--(Q72="valid")</f>
        <v>1</v>
      </c>
      <c r="L72" s="7">
        <f>--AND(K72=1,F72&lt;&gt;"")</f>
        <v>1</v>
      </c>
      <c r="M72" s="7">
        <f>--AND(K72=1,L72=1,G72&gt;'Leia-me'!$C$11)</f>
        <v>0</v>
      </c>
      <c r="N72" s="7">
        <f>--AND(K72=1,F72="")</f>
        <v>0</v>
      </c>
      <c r="O72" s="7">
        <f>--AND(N72=1,G72&gt;'Leia-me'!$C$11)</f>
        <v>0</v>
      </c>
      <c r="P72" s="16">
        <f>IF(L72=1,G72,"")</f>
        <v>1.0</v>
      </c>
      <c r="Q72" s="9" t="s">
        <v>435</v>
      </c>
      <c r="R72" s="9"/>
    </row>
    <row r="73" spans="1:18" ht="32" customHeight="1">
      <c r="A73" s="11" t="s">
        <v>502</v>
      </c>
      <c r="B73" s="11" t="s">
        <v>253</v>
      </c>
      <c r="C73" s="11" t="s">
        <v>90</v>
      </c>
      <c r="D73" s="11" t="s">
        <v>89</v>
      </c>
      <c r="E73" s="12">
        <v>45733.375</v>
      </c>
      <c r="F73" s="12">
        <v>45735.375</v>
      </c>
      <c r="G73" s="17">
        <f>IF(E73="","",IF(F73="",'Leia-me'!$C$10-E73,F73-E73))</f>
        <v>2.0</v>
      </c>
      <c r="H73" s="20" t="str">
        <f>IF(F73="",IF(G73&gt;'Leia-me'!$C$11,"Aberto vencido","Aberto no prazo"),IF(G73&gt;'Leia-me'!$C$11,"Fora do prazo","Dentro do prazo"))</f>
        <v>Dentro do prazo</v>
      </c>
      <c r="I73" s="11" t="s">
        <v>254</v>
      </c>
      <c r="J73" s="11" t="s">
        <v>92</v>
      </c>
      <c r="K73" s="18">
        <f>--(Q73="valid")</f>
        <v>1</v>
      </c>
      <c r="L73" s="18">
        <f>--AND(K73=1,F73&lt;&gt;"")</f>
        <v>1</v>
      </c>
      <c r="M73" s="18">
        <f>--AND(K73=1,L73=1,G73&gt;'Leia-me'!$C$11)</f>
        <v>0</v>
      </c>
      <c r="N73" s="18">
        <f>--AND(K73=1,F73="")</f>
        <v>0</v>
      </c>
      <c r="O73" s="18">
        <f>--AND(N73=1,G73&gt;'Leia-me'!$C$11)</f>
        <v>0</v>
      </c>
      <c r="P73" s="19">
        <f>IF(L73=1,G73,"")</f>
        <v>2.0</v>
      </c>
      <c r="Q73" s="11" t="s">
        <v>435</v>
      </c>
      <c r="R73" s="11"/>
    </row>
    <row r="74" spans="1:18" ht="32" customHeight="1">
      <c r="A74" s="9" t="s">
        <v>503</v>
      </c>
      <c r="B74" s="9" t="s">
        <v>269</v>
      </c>
      <c r="C74" s="9" t="s">
        <v>85</v>
      </c>
      <c r="D74" s="9" t="s">
        <v>112</v>
      </c>
      <c r="E74" s="6">
        <v>45718.375</v>
      </c>
      <c r="F74" s="6">
        <v>45721.375</v>
      </c>
      <c r="G74" s="14">
        <f>IF(E74="","",IF(F74="",'Leia-me'!$C$10-E74,F74-E74))</f>
        <v>3.0</v>
      </c>
      <c r="H74" s="20" t="str">
        <f>IF(F74="",IF(G74&gt;'Leia-me'!$C$11,"Aberto vencido","Aberto no prazo"),IF(G74&gt;'Leia-me'!$C$11,"Fora do prazo","Dentro do prazo"))</f>
        <v>Dentro do prazo</v>
      </c>
      <c r="I74" s="9" t="s">
        <v>270</v>
      </c>
      <c r="J74" s="9" t="s">
        <v>87</v>
      </c>
      <c r="K74" s="7">
        <f>--(Q74="valid")</f>
        <v>1</v>
      </c>
      <c r="L74" s="7">
        <f>--AND(K74=1,F74&lt;&gt;"")</f>
        <v>1</v>
      </c>
      <c r="M74" s="7">
        <f>--AND(K74=1,L74=1,G74&gt;'Leia-me'!$C$11)</f>
        <v>0</v>
      </c>
      <c r="N74" s="7">
        <f>--AND(K74=1,F74="")</f>
        <v>0</v>
      </c>
      <c r="O74" s="7">
        <f>--AND(N74=1,G74&gt;'Leia-me'!$C$11)</f>
        <v>0</v>
      </c>
      <c r="P74" s="16">
        <f>IF(L74=1,G74,"")</f>
        <v>3.0</v>
      </c>
      <c r="Q74" s="9" t="s">
        <v>435</v>
      </c>
      <c r="R74" s="9"/>
    </row>
    <row r="75" spans="1:18" ht="32" customHeight="1">
      <c r="A75" s="11" t="s">
        <v>504</v>
      </c>
      <c r="B75" s="11" t="s">
        <v>283</v>
      </c>
      <c r="C75" s="11" t="s">
        <v>80</v>
      </c>
      <c r="D75" s="11" t="s">
        <v>133</v>
      </c>
      <c r="E75" s="12">
        <v>45723.375</v>
      </c>
      <c r="F75" s="12">
        <v>45724.375</v>
      </c>
      <c r="G75" s="17">
        <f>IF(E75="","",IF(F75="",'Leia-me'!$C$10-E75,F75-E75))</f>
        <v>1.0</v>
      </c>
      <c r="H75" s="20" t="str">
        <f>IF(F75="",IF(G75&gt;'Leia-me'!$C$11,"Aberto vencido","Aberto no prazo"),IF(G75&gt;'Leia-me'!$C$11,"Fora do prazo","Dentro do prazo"))</f>
        <v>Dentro do prazo</v>
      </c>
      <c r="I75" s="11" t="s">
        <v>284</v>
      </c>
      <c r="J75" s="11" t="s">
        <v>82</v>
      </c>
      <c r="K75" s="18">
        <f>--(Q75="valid")</f>
        <v>1</v>
      </c>
      <c r="L75" s="18">
        <f>--AND(K75=1,F75&lt;&gt;"")</f>
        <v>1</v>
      </c>
      <c r="M75" s="18">
        <f>--AND(K75=1,L75=1,G75&gt;'Leia-me'!$C$11)</f>
        <v>0</v>
      </c>
      <c r="N75" s="18">
        <f>--AND(K75=1,F75="")</f>
        <v>0</v>
      </c>
      <c r="O75" s="18">
        <f>--AND(N75=1,G75&gt;'Leia-me'!$C$11)</f>
        <v>0</v>
      </c>
      <c r="P75" s="19">
        <f>IF(L75=1,G75,"")</f>
        <v>1.0</v>
      </c>
      <c r="Q75" s="11" t="s">
        <v>435</v>
      </c>
      <c r="R75" s="11"/>
    </row>
    <row r="76" spans="1:18" ht="32" customHeight="1">
      <c r="A76" s="9" t="s">
        <v>505</v>
      </c>
      <c r="B76" s="9" t="s">
        <v>297</v>
      </c>
      <c r="C76" s="9" t="s">
        <v>75</v>
      </c>
      <c r="D76" s="9" t="s">
        <v>74</v>
      </c>
      <c r="E76" s="6">
        <v>45728.375</v>
      </c>
      <c r="F76" s="6">
        <v>45730.375</v>
      </c>
      <c r="G76" s="14">
        <f>IF(E76="","",IF(F76="",'Leia-me'!$C$10-E76,F76-E76))</f>
        <v>2.0</v>
      </c>
      <c r="H76" s="20" t="str">
        <f>IF(F76="",IF(G76&gt;'Leia-me'!$C$11,"Aberto vencido","Aberto no prazo"),IF(G76&gt;'Leia-me'!$C$11,"Fora do prazo","Dentro do prazo"))</f>
        <v>Dentro do prazo</v>
      </c>
      <c r="I76" s="9" t="s">
        <v>298</v>
      </c>
      <c r="J76" s="9" t="s">
        <v>77</v>
      </c>
      <c r="K76" s="7">
        <f>--(Q76="valid")</f>
        <v>1</v>
      </c>
      <c r="L76" s="7">
        <f>--AND(K76=1,F76&lt;&gt;"")</f>
        <v>1</v>
      </c>
      <c r="M76" s="7">
        <f>--AND(K76=1,L76=1,G76&gt;'Leia-me'!$C$11)</f>
        <v>0</v>
      </c>
      <c r="N76" s="7">
        <f>--AND(K76=1,F76="")</f>
        <v>0</v>
      </c>
      <c r="O76" s="7">
        <f>--AND(N76=1,G76&gt;'Leia-me'!$C$11)</f>
        <v>0</v>
      </c>
      <c r="P76" s="16">
        <f>IF(L76=1,G76,"")</f>
        <v>2.0</v>
      </c>
      <c r="Q76" s="9" t="s">
        <v>435</v>
      </c>
      <c r="R76" s="9"/>
    </row>
    <row r="77" spans="1:18" ht="32" customHeight="1">
      <c r="A77" s="11" t="s">
        <v>506</v>
      </c>
      <c r="B77" s="11" t="s">
        <v>311</v>
      </c>
      <c r="C77" s="11" t="s">
        <v>70</v>
      </c>
      <c r="D77" s="11" t="s">
        <v>103</v>
      </c>
      <c r="E77" s="12">
        <v>45733.375</v>
      </c>
      <c r="F77" s="12">
        <v>45736.375</v>
      </c>
      <c r="G77" s="17">
        <f>IF(E77="","",IF(F77="",'Leia-me'!$C$10-E77,F77-E77))</f>
        <v>3.0</v>
      </c>
      <c r="H77" s="20" t="str">
        <f>IF(F77="",IF(G77&gt;'Leia-me'!$C$11,"Aberto vencido","Aberto no prazo"),IF(G77&gt;'Leia-me'!$C$11,"Fora do prazo","Dentro do prazo"))</f>
        <v>Dentro do prazo</v>
      </c>
      <c r="I77" s="11" t="s">
        <v>312</v>
      </c>
      <c r="J77" s="11" t="s">
        <v>72</v>
      </c>
      <c r="K77" s="18">
        <f>--(Q77="valid")</f>
        <v>1</v>
      </c>
      <c r="L77" s="18">
        <f>--AND(K77=1,F77&lt;&gt;"")</f>
        <v>1</v>
      </c>
      <c r="M77" s="18">
        <f>--AND(K77=1,L77=1,G77&gt;'Leia-me'!$C$11)</f>
        <v>0</v>
      </c>
      <c r="N77" s="18">
        <f>--AND(K77=1,F77="")</f>
        <v>0</v>
      </c>
      <c r="O77" s="18">
        <f>--AND(N77=1,G77&gt;'Leia-me'!$C$11)</f>
        <v>0</v>
      </c>
      <c r="P77" s="19">
        <f>IF(L77=1,G77,"")</f>
        <v>3.0</v>
      </c>
      <c r="Q77" s="11" t="s">
        <v>435</v>
      </c>
      <c r="R77" s="11"/>
    </row>
    <row r="78" spans="1:18" ht="32" customHeight="1">
      <c r="A78" s="9" t="s">
        <v>507</v>
      </c>
      <c r="B78" s="9" t="s">
        <v>325</v>
      </c>
      <c r="C78" s="9" t="s">
        <v>65</v>
      </c>
      <c r="D78" s="9" t="s">
        <v>124</v>
      </c>
      <c r="E78" s="6">
        <v>45718.375</v>
      </c>
      <c r="F78" s="6">
        <v>45719.375</v>
      </c>
      <c r="G78" s="14">
        <f>IF(E78="","",IF(F78="",'Leia-me'!$C$10-E78,F78-E78))</f>
        <v>1.0</v>
      </c>
      <c r="H78" s="20" t="str">
        <f>IF(F78="",IF(G78&gt;'Leia-me'!$C$11,"Aberto vencido","Aberto no prazo"),IF(G78&gt;'Leia-me'!$C$11,"Fora do prazo","Dentro do prazo"))</f>
        <v>Dentro do prazo</v>
      </c>
      <c r="I78" s="9" t="s">
        <v>326</v>
      </c>
      <c r="J78" s="9" t="s">
        <v>67</v>
      </c>
      <c r="K78" s="7">
        <f>--(Q78="valid")</f>
        <v>1</v>
      </c>
      <c r="L78" s="7">
        <f>--AND(K78=1,F78&lt;&gt;"")</f>
        <v>1</v>
      </c>
      <c r="M78" s="7">
        <f>--AND(K78=1,L78=1,G78&gt;'Leia-me'!$C$11)</f>
        <v>0</v>
      </c>
      <c r="N78" s="7">
        <f>--AND(K78=1,F78="")</f>
        <v>0</v>
      </c>
      <c r="O78" s="7">
        <f>--AND(N78=1,G78&gt;'Leia-me'!$C$11)</f>
        <v>0</v>
      </c>
      <c r="P78" s="16">
        <f>IF(L78=1,G78,"")</f>
        <v>1.0</v>
      </c>
      <c r="Q78" s="9" t="s">
        <v>435</v>
      </c>
      <c r="R78" s="9"/>
    </row>
    <row r="79" spans="1:18" ht="32" customHeight="1">
      <c r="A79" s="11" t="s">
        <v>508</v>
      </c>
      <c r="B79" s="11" t="s">
        <v>339</v>
      </c>
      <c r="C79" s="11" t="s">
        <v>60</v>
      </c>
      <c r="D79" s="11" t="s">
        <v>59</v>
      </c>
      <c r="E79" s="12">
        <v>45723.375</v>
      </c>
      <c r="F79" s="12">
        <v>45725.375</v>
      </c>
      <c r="G79" s="17">
        <f>IF(E79="","",IF(F79="",'Leia-me'!$C$10-E79,F79-E79))</f>
        <v>2.0</v>
      </c>
      <c r="H79" s="20" t="str">
        <f>IF(F79="",IF(G79&gt;'Leia-me'!$C$11,"Aberto vencido","Aberto no prazo"),IF(G79&gt;'Leia-me'!$C$11,"Fora do prazo","Dentro do prazo"))</f>
        <v>Dentro do prazo</v>
      </c>
      <c r="I79" s="11" t="s">
        <v>340</v>
      </c>
      <c r="J79" s="11" t="s">
        <v>62</v>
      </c>
      <c r="K79" s="18">
        <f>--(Q79="valid")</f>
        <v>1</v>
      </c>
      <c r="L79" s="18">
        <f>--AND(K79=1,F79&lt;&gt;"")</f>
        <v>1</v>
      </c>
      <c r="M79" s="18">
        <f>--AND(K79=1,L79=1,G79&gt;'Leia-me'!$C$11)</f>
        <v>0</v>
      </c>
      <c r="N79" s="18">
        <f>--AND(K79=1,F79="")</f>
        <v>0</v>
      </c>
      <c r="O79" s="18">
        <f>--AND(N79=1,G79&gt;'Leia-me'!$C$11)</f>
        <v>0</v>
      </c>
      <c r="P79" s="19">
        <f>IF(L79=1,G79,"")</f>
        <v>2.0</v>
      </c>
      <c r="Q79" s="11" t="s">
        <v>435</v>
      </c>
      <c r="R79" s="11"/>
    </row>
    <row r="80" spans="1:18" ht="32" customHeight="1">
      <c r="A80" s="9" t="s">
        <v>509</v>
      </c>
      <c r="B80" s="9" t="s">
        <v>353</v>
      </c>
      <c r="C80" s="9" t="s">
        <v>50</v>
      </c>
      <c r="D80" s="9" t="s">
        <v>94</v>
      </c>
      <c r="E80" s="6">
        <v>45728.375</v>
      </c>
      <c r="F80" s="6">
        <v>45731.375</v>
      </c>
      <c r="G80" s="14">
        <f>IF(E80="","",IF(F80="",'Leia-me'!$C$10-E80,F80-E80))</f>
        <v>3.0</v>
      </c>
      <c r="H80" s="20" t="str">
        <f>IF(F80="",IF(G80&gt;'Leia-me'!$C$11,"Aberto vencido","Aberto no prazo"),IF(G80&gt;'Leia-me'!$C$11,"Fora do prazo","Dentro do prazo"))</f>
        <v>Dentro do prazo</v>
      </c>
      <c r="I80" s="9" t="s">
        <v>354</v>
      </c>
      <c r="J80" s="9" t="s">
        <v>56</v>
      </c>
      <c r="K80" s="7">
        <f>--(Q80="valid")</f>
        <v>1</v>
      </c>
      <c r="L80" s="7">
        <f>--AND(K80=1,F80&lt;&gt;"")</f>
        <v>1</v>
      </c>
      <c r="M80" s="7">
        <f>--AND(K80=1,L80=1,G80&gt;'Leia-me'!$C$11)</f>
        <v>0</v>
      </c>
      <c r="N80" s="7">
        <f>--AND(K80=1,F80="")</f>
        <v>0</v>
      </c>
      <c r="O80" s="7">
        <f>--AND(N80=1,G80&gt;'Leia-me'!$C$11)</f>
        <v>0</v>
      </c>
      <c r="P80" s="16">
        <f>IF(L80=1,G80,"")</f>
        <v>3.0</v>
      </c>
      <c r="Q80" s="9" t="s">
        <v>435</v>
      </c>
      <c r="R80" s="9"/>
    </row>
    <row r="81" spans="1:18" ht="32" customHeight="1">
      <c r="A81" s="11" t="s">
        <v>510</v>
      </c>
      <c r="B81" s="11" t="s">
        <v>78</v>
      </c>
      <c r="C81" s="11" t="s">
        <v>80</v>
      </c>
      <c r="D81" s="11" t="s">
        <v>79</v>
      </c>
      <c r="E81" s="12">
        <v>45733.375</v>
      </c>
      <c r="F81" s="12">
        <v>45734.375</v>
      </c>
      <c r="G81" s="17">
        <f>IF(E81="","",IF(F81="",'Leia-me'!$C$10-E81,F81-E81))</f>
        <v>1.0</v>
      </c>
      <c r="H81" s="20" t="str">
        <f>IF(F81="",IF(G81&gt;'Leia-me'!$C$11,"Aberto vencido","Aberto no prazo"),IF(G81&gt;'Leia-me'!$C$11,"Fora do prazo","Dentro do prazo"))</f>
        <v>Dentro do prazo</v>
      </c>
      <c r="I81" s="11" t="s">
        <v>81</v>
      </c>
      <c r="J81" s="11" t="s">
        <v>82</v>
      </c>
      <c r="K81" s="18">
        <f>--(Q81="valid")</f>
        <v>1</v>
      </c>
      <c r="L81" s="18">
        <f>--AND(K81=1,F81&lt;&gt;"")</f>
        <v>1</v>
      </c>
      <c r="M81" s="18">
        <f>--AND(K81=1,L81=1,G81&gt;'Leia-me'!$C$11)</f>
        <v>0</v>
      </c>
      <c r="N81" s="18">
        <f>--AND(K81=1,F81="")</f>
        <v>0</v>
      </c>
      <c r="O81" s="18">
        <f>--AND(N81=1,G81&gt;'Leia-me'!$C$11)</f>
        <v>0</v>
      </c>
      <c r="P81" s="19">
        <f>IF(L81=1,G81,"")</f>
        <v>1.0</v>
      </c>
      <c r="Q81" s="11" t="s">
        <v>435</v>
      </c>
      <c r="R81" s="11"/>
    </row>
    <row r="82" spans="1:18" ht="32" customHeight="1">
      <c r="A82" s="9" t="s">
        <v>511</v>
      </c>
      <c r="B82" s="9" t="s">
        <v>105</v>
      </c>
      <c r="C82" s="9" t="s">
        <v>75</v>
      </c>
      <c r="D82" s="9" t="s">
        <v>106</v>
      </c>
      <c r="E82" s="6">
        <v>45718.375</v>
      </c>
      <c r="F82" s="6">
        <v>45720.375</v>
      </c>
      <c r="G82" s="14">
        <f>IF(E82="","",IF(F82="",'Leia-me'!$C$10-E82,F82-E82))</f>
        <v>2.0</v>
      </c>
      <c r="H82" s="20" t="str">
        <f>IF(F82="",IF(G82&gt;'Leia-me'!$C$11,"Aberto vencido","Aberto no prazo"),IF(G82&gt;'Leia-me'!$C$11,"Fora do prazo","Dentro do prazo"))</f>
        <v>Dentro do prazo</v>
      </c>
      <c r="I82" s="9" t="s">
        <v>107</v>
      </c>
      <c r="J82" s="9" t="s">
        <v>77</v>
      </c>
      <c r="K82" s="7">
        <f>--(Q82="valid")</f>
        <v>1</v>
      </c>
      <c r="L82" s="7">
        <f>--AND(K82=1,F82&lt;&gt;"")</f>
        <v>1</v>
      </c>
      <c r="M82" s="7">
        <f>--AND(K82=1,L82=1,G82&gt;'Leia-me'!$C$11)</f>
        <v>0</v>
      </c>
      <c r="N82" s="7">
        <f>--AND(K82=1,F82="")</f>
        <v>0</v>
      </c>
      <c r="O82" s="7">
        <f>--AND(N82=1,G82&gt;'Leia-me'!$C$11)</f>
        <v>0</v>
      </c>
      <c r="P82" s="16">
        <f>IF(L82=1,G82,"")</f>
        <v>2.0</v>
      </c>
      <c r="Q82" s="9" t="s">
        <v>435</v>
      </c>
      <c r="R82" s="9"/>
    </row>
    <row r="83" spans="1:18" ht="32" customHeight="1">
      <c r="A83" s="11" t="s">
        <v>512</v>
      </c>
      <c r="B83" s="11" t="s">
        <v>126</v>
      </c>
      <c r="C83" s="11" t="s">
        <v>70</v>
      </c>
      <c r="D83" s="11" t="s">
        <v>127</v>
      </c>
      <c r="E83" s="12">
        <v>45723.375</v>
      </c>
      <c r="F83" s="12">
        <v>45726.375</v>
      </c>
      <c r="G83" s="17">
        <f>IF(E83="","",IF(F83="",'Leia-me'!$C$10-E83,F83-E83))</f>
        <v>3.0</v>
      </c>
      <c r="H83" s="20" t="str">
        <f>IF(F83="",IF(G83&gt;'Leia-me'!$C$11,"Aberto vencido","Aberto no prazo"),IF(G83&gt;'Leia-me'!$C$11,"Fora do prazo","Dentro do prazo"))</f>
        <v>Dentro do prazo</v>
      </c>
      <c r="I83" s="11" t="s">
        <v>128</v>
      </c>
      <c r="J83" s="11" t="s">
        <v>72</v>
      </c>
      <c r="K83" s="18">
        <f>--(Q83="valid")</f>
        <v>1</v>
      </c>
      <c r="L83" s="18">
        <f>--AND(K83=1,F83&lt;&gt;"")</f>
        <v>1</v>
      </c>
      <c r="M83" s="18">
        <f>--AND(K83=1,L83=1,G83&gt;'Leia-me'!$C$11)</f>
        <v>0</v>
      </c>
      <c r="N83" s="18">
        <f>--AND(K83=1,F83="")</f>
        <v>0</v>
      </c>
      <c r="O83" s="18">
        <f>--AND(N83=1,G83&gt;'Leia-me'!$C$11)</f>
        <v>0</v>
      </c>
      <c r="P83" s="19">
        <f>IF(L83=1,G83,"")</f>
        <v>3.0</v>
      </c>
      <c r="Q83" s="11" t="s">
        <v>435</v>
      </c>
      <c r="R83" s="11"/>
    </row>
    <row r="84" spans="1:18" ht="32" customHeight="1">
      <c r="A84" s="9" t="s">
        <v>513</v>
      </c>
      <c r="B84" s="9" t="s">
        <v>145</v>
      </c>
      <c r="C84" s="9" t="s">
        <v>65</v>
      </c>
      <c r="D84" s="9" t="s">
        <v>64</v>
      </c>
      <c r="E84" s="6">
        <v>45728.375</v>
      </c>
      <c r="F84" s="6">
        <v>45729.375</v>
      </c>
      <c r="G84" s="14">
        <f>IF(E84="","",IF(F84="",'Leia-me'!$C$10-E84,F84-E84))</f>
        <v>1.0</v>
      </c>
      <c r="H84" s="20" t="str">
        <f>IF(F84="",IF(G84&gt;'Leia-me'!$C$11,"Aberto vencido","Aberto no prazo"),IF(G84&gt;'Leia-me'!$C$11,"Fora do prazo","Dentro do prazo"))</f>
        <v>Dentro do prazo</v>
      </c>
      <c r="I84" s="9" t="s">
        <v>146</v>
      </c>
      <c r="J84" s="9" t="s">
        <v>67</v>
      </c>
      <c r="K84" s="7">
        <f>--(Q84="valid")</f>
        <v>1</v>
      </c>
      <c r="L84" s="7">
        <f>--AND(K84=1,F84&lt;&gt;"")</f>
        <v>1</v>
      </c>
      <c r="M84" s="7">
        <f>--AND(K84=1,L84=1,G84&gt;'Leia-me'!$C$11)</f>
        <v>0</v>
      </c>
      <c r="N84" s="7">
        <f>--AND(K84=1,F84="")</f>
        <v>0</v>
      </c>
      <c r="O84" s="7">
        <f>--AND(N84=1,G84&gt;'Leia-me'!$C$11)</f>
        <v>0</v>
      </c>
      <c r="P84" s="16">
        <f>IF(L84=1,G84,"")</f>
        <v>1.0</v>
      </c>
      <c r="Q84" s="9" t="s">
        <v>435</v>
      </c>
      <c r="R84" s="9"/>
    </row>
    <row r="85" spans="1:18" ht="32" customHeight="1">
      <c r="A85" s="11" t="s">
        <v>514</v>
      </c>
      <c r="B85" s="11" t="s">
        <v>159</v>
      </c>
      <c r="C85" s="11" t="s">
        <v>60</v>
      </c>
      <c r="D85" s="11" t="s">
        <v>97</v>
      </c>
      <c r="E85" s="12">
        <v>45733.375</v>
      </c>
      <c r="F85" s="12">
        <v>45735.375</v>
      </c>
      <c r="G85" s="17">
        <f>IF(E85="","",IF(F85="",'Leia-me'!$C$10-E85,F85-E85))</f>
        <v>2.0</v>
      </c>
      <c r="H85" s="20" t="str">
        <f>IF(F85="",IF(G85&gt;'Leia-me'!$C$11,"Aberto vencido","Aberto no prazo"),IF(G85&gt;'Leia-me'!$C$11,"Fora do prazo","Dentro do prazo"))</f>
        <v>Dentro do prazo</v>
      </c>
      <c r="I85" s="11" t="s">
        <v>160</v>
      </c>
      <c r="J85" s="11" t="s">
        <v>62</v>
      </c>
      <c r="K85" s="18">
        <f>--(Q85="valid")</f>
        <v>1</v>
      </c>
      <c r="L85" s="18">
        <f>--AND(K85=1,F85&lt;&gt;"")</f>
        <v>1</v>
      </c>
      <c r="M85" s="18">
        <f>--AND(K85=1,L85=1,G85&gt;'Leia-me'!$C$11)</f>
        <v>0</v>
      </c>
      <c r="N85" s="18">
        <f>--AND(K85=1,F85="")</f>
        <v>0</v>
      </c>
      <c r="O85" s="18">
        <f>--AND(N85=1,G85&gt;'Leia-me'!$C$11)</f>
        <v>0</v>
      </c>
      <c r="P85" s="19">
        <f>IF(L85=1,G85,"")</f>
        <v>2.0</v>
      </c>
      <c r="Q85" s="11" t="s">
        <v>435</v>
      </c>
      <c r="R85" s="11"/>
    </row>
    <row r="86" spans="1:18" ht="32" customHeight="1">
      <c r="A86" s="9" t="s">
        <v>515</v>
      </c>
      <c r="B86" s="9" t="s">
        <v>173</v>
      </c>
      <c r="C86" s="9" t="s">
        <v>50</v>
      </c>
      <c r="D86" s="9" t="s">
        <v>118</v>
      </c>
      <c r="E86" s="6">
        <v>45718.375</v>
      </c>
      <c r="F86" s="6">
        <v>45721.375</v>
      </c>
      <c r="G86" s="14">
        <f>IF(E86="","",IF(F86="",'Leia-me'!$C$10-E86,F86-E86))</f>
        <v>3.0</v>
      </c>
      <c r="H86" s="20" t="str">
        <f>IF(F86="",IF(G86&gt;'Leia-me'!$C$11,"Aberto vencido","Aberto no prazo"),IF(G86&gt;'Leia-me'!$C$11,"Fora do prazo","Dentro do prazo"))</f>
        <v>Dentro do prazo</v>
      </c>
      <c r="I86" s="9" t="s">
        <v>174</v>
      </c>
      <c r="J86" s="9" t="s">
        <v>56</v>
      </c>
      <c r="K86" s="7">
        <f>--(Q86="valid")</f>
        <v>1</v>
      </c>
      <c r="L86" s="7">
        <f>--AND(K86=1,F86&lt;&gt;"")</f>
        <v>1</v>
      </c>
      <c r="M86" s="7">
        <f>--AND(K86=1,L86=1,G86&gt;'Leia-me'!$C$11)</f>
        <v>0</v>
      </c>
      <c r="N86" s="7">
        <f>--AND(K86=1,F86="")</f>
        <v>0</v>
      </c>
      <c r="O86" s="7">
        <f>--AND(N86=1,G86&gt;'Leia-me'!$C$11)</f>
        <v>0</v>
      </c>
      <c r="P86" s="16">
        <f>IF(L86=1,G86,"")</f>
        <v>3.0</v>
      </c>
      <c r="Q86" s="9" t="s">
        <v>435</v>
      </c>
      <c r="R86" s="9"/>
    </row>
    <row r="87" spans="1:18" ht="32" customHeight="1">
      <c r="A87" s="11" t="s">
        <v>516</v>
      </c>
      <c r="B87" s="11" t="s">
        <v>189</v>
      </c>
      <c r="C87" s="11" t="s">
        <v>90</v>
      </c>
      <c r="D87" s="11" t="s">
        <v>139</v>
      </c>
      <c r="E87" s="12">
        <v>45723.375</v>
      </c>
      <c r="F87" s="12">
        <v>45724.375</v>
      </c>
      <c r="G87" s="17">
        <f>IF(E87="","",IF(F87="",'Leia-me'!$C$10-E87,F87-E87))</f>
        <v>1.0</v>
      </c>
      <c r="H87" s="20" t="str">
        <f>IF(F87="",IF(G87&gt;'Leia-me'!$C$11,"Aberto vencido","Aberto no prazo"),IF(G87&gt;'Leia-me'!$C$11,"Fora do prazo","Dentro do prazo"))</f>
        <v>Dentro do prazo</v>
      </c>
      <c r="I87" s="11" t="s">
        <v>190</v>
      </c>
      <c r="J87" s="11" t="s">
        <v>92</v>
      </c>
      <c r="K87" s="18">
        <f>--(Q87="valid")</f>
        <v>1</v>
      </c>
      <c r="L87" s="18">
        <f>--AND(K87=1,F87&lt;&gt;"")</f>
        <v>1</v>
      </c>
      <c r="M87" s="18">
        <f>--AND(K87=1,L87=1,G87&gt;'Leia-me'!$C$11)</f>
        <v>0</v>
      </c>
      <c r="N87" s="18">
        <f>--AND(K87=1,F87="")</f>
        <v>0</v>
      </c>
      <c r="O87" s="18">
        <f>--AND(N87=1,G87&gt;'Leia-me'!$C$11)</f>
        <v>0</v>
      </c>
      <c r="P87" s="19">
        <f>IF(L87=1,G87,"")</f>
        <v>1.0</v>
      </c>
      <c r="Q87" s="11" t="s">
        <v>435</v>
      </c>
      <c r="R87" s="11"/>
    </row>
    <row r="88" spans="1:18" ht="32" customHeight="1">
      <c r="A88" s="9" t="s">
        <v>517</v>
      </c>
      <c r="B88" s="9" t="s">
        <v>203</v>
      </c>
      <c r="C88" s="9" t="s">
        <v>85</v>
      </c>
      <c r="D88" s="9" t="s">
        <v>84</v>
      </c>
      <c r="E88" s="6">
        <v>45728.375</v>
      </c>
      <c r="F88" s="6">
        <v>45730.375</v>
      </c>
      <c r="G88" s="14">
        <f>IF(E88="","",IF(F88="",'Leia-me'!$C$10-E88,F88-E88))</f>
        <v>2.0</v>
      </c>
      <c r="H88" s="20" t="str">
        <f>IF(F88="",IF(G88&gt;'Leia-me'!$C$11,"Aberto vencido","Aberto no prazo"),IF(G88&gt;'Leia-me'!$C$11,"Fora do prazo","Dentro do prazo"))</f>
        <v>Dentro do prazo</v>
      </c>
      <c r="I88" s="9" t="s">
        <v>204</v>
      </c>
      <c r="J88" s="9" t="s">
        <v>87</v>
      </c>
      <c r="K88" s="7">
        <f>--(Q88="valid")</f>
        <v>1</v>
      </c>
      <c r="L88" s="7">
        <f>--AND(K88=1,F88&lt;&gt;"")</f>
        <v>1</v>
      </c>
      <c r="M88" s="7">
        <f>--AND(K88=1,L88=1,G88&gt;'Leia-me'!$C$11)</f>
        <v>0</v>
      </c>
      <c r="N88" s="7">
        <f>--AND(K88=1,F88="")</f>
        <v>0</v>
      </c>
      <c r="O88" s="7">
        <f>--AND(N88=1,G88&gt;'Leia-me'!$C$11)</f>
        <v>0</v>
      </c>
      <c r="P88" s="16">
        <f>IF(L88=1,G88,"")</f>
        <v>2.0</v>
      </c>
      <c r="Q88" s="9" t="s">
        <v>435</v>
      </c>
      <c r="R88" s="9"/>
    </row>
    <row r="89" spans="1:18" ht="32" customHeight="1">
      <c r="A89" s="11" t="s">
        <v>518</v>
      </c>
      <c r="B89" s="11" t="s">
        <v>217</v>
      </c>
      <c r="C89" s="11" t="s">
        <v>80</v>
      </c>
      <c r="D89" s="11" t="s">
        <v>109</v>
      </c>
      <c r="E89" s="12">
        <v>45733.375</v>
      </c>
      <c r="F89" s="12">
        <v>45736.375</v>
      </c>
      <c r="G89" s="17">
        <f>IF(E89="","",IF(F89="",'Leia-me'!$C$10-E89,F89-E89))</f>
        <v>3.0</v>
      </c>
      <c r="H89" s="20" t="str">
        <f>IF(F89="",IF(G89&gt;'Leia-me'!$C$11,"Aberto vencido","Aberto no prazo"),IF(G89&gt;'Leia-me'!$C$11,"Fora do prazo","Dentro do prazo"))</f>
        <v>Dentro do prazo</v>
      </c>
      <c r="I89" s="11" t="s">
        <v>218</v>
      </c>
      <c r="J89" s="11" t="s">
        <v>82</v>
      </c>
      <c r="K89" s="18">
        <f>--(Q89="valid")</f>
        <v>1</v>
      </c>
      <c r="L89" s="18">
        <f>--AND(K89=1,F89&lt;&gt;"")</f>
        <v>1</v>
      </c>
      <c r="M89" s="18">
        <f>--AND(K89=1,L89=1,G89&gt;'Leia-me'!$C$11)</f>
        <v>0</v>
      </c>
      <c r="N89" s="18">
        <f>--AND(K89=1,F89="")</f>
        <v>0</v>
      </c>
      <c r="O89" s="18">
        <f>--AND(N89=1,G89&gt;'Leia-me'!$C$11)</f>
        <v>0</v>
      </c>
      <c r="P89" s="19">
        <f>IF(L89=1,G89,"")</f>
        <v>3.0</v>
      </c>
      <c r="Q89" s="11" t="s">
        <v>435</v>
      </c>
      <c r="R89" s="11"/>
    </row>
    <row r="90" spans="1:18" ht="32" customHeight="1">
      <c r="A90" s="9" t="s">
        <v>519</v>
      </c>
      <c r="B90" s="9" t="s">
        <v>231</v>
      </c>
      <c r="C90" s="9" t="s">
        <v>75</v>
      </c>
      <c r="D90" s="9" t="s">
        <v>130</v>
      </c>
      <c r="E90" s="6">
        <v>45718.375</v>
      </c>
      <c r="F90" s="6">
        <v>45719.375</v>
      </c>
      <c r="G90" s="14">
        <f>IF(E90="","",IF(F90="",'Leia-me'!$C$10-E90,F90-E90))</f>
        <v>1.0</v>
      </c>
      <c r="H90" s="20" t="str">
        <f>IF(F90="",IF(G90&gt;'Leia-me'!$C$11,"Aberto vencido","Aberto no prazo"),IF(G90&gt;'Leia-me'!$C$11,"Fora do prazo","Dentro do prazo"))</f>
        <v>Dentro do prazo</v>
      </c>
      <c r="I90" s="9" t="s">
        <v>232</v>
      </c>
      <c r="J90" s="9" t="s">
        <v>77</v>
      </c>
      <c r="K90" s="7">
        <f>--(Q90="valid")</f>
        <v>1</v>
      </c>
      <c r="L90" s="7">
        <f>--AND(K90=1,F90&lt;&gt;"")</f>
        <v>1</v>
      </c>
      <c r="M90" s="7">
        <f>--AND(K90=1,L90=1,G90&gt;'Leia-me'!$C$11)</f>
        <v>0</v>
      </c>
      <c r="N90" s="7">
        <f>--AND(K90=1,F90="")</f>
        <v>0</v>
      </c>
      <c r="O90" s="7">
        <f>--AND(N90=1,G90&gt;'Leia-me'!$C$11)</f>
        <v>0</v>
      </c>
      <c r="P90" s="16">
        <f>IF(L90=1,G90,"")</f>
        <v>1.0</v>
      </c>
      <c r="Q90" s="9" t="s">
        <v>435</v>
      </c>
      <c r="R90" s="9"/>
    </row>
    <row r="91" spans="1:18" ht="32" customHeight="1">
      <c r="A91" s="11" t="s">
        <v>520</v>
      </c>
      <c r="B91" s="11" t="s">
        <v>245</v>
      </c>
      <c r="C91" s="11" t="s">
        <v>70</v>
      </c>
      <c r="D91" s="11" t="s">
        <v>69</v>
      </c>
      <c r="E91" s="12">
        <v>45723.375</v>
      </c>
      <c r="F91" s="12">
        <v>45725.375</v>
      </c>
      <c r="G91" s="17">
        <f>IF(E91="","",IF(F91="",'Leia-me'!$C$10-E91,F91-E91))</f>
        <v>2.0</v>
      </c>
      <c r="H91" s="20" t="str">
        <f>IF(F91="",IF(G91&gt;'Leia-me'!$C$11,"Aberto vencido","Aberto no prazo"),IF(G91&gt;'Leia-me'!$C$11,"Fora do prazo","Dentro do prazo"))</f>
        <v>Dentro do prazo</v>
      </c>
      <c r="I91" s="11" t="s">
        <v>246</v>
      </c>
      <c r="J91" s="11" t="s">
        <v>72</v>
      </c>
      <c r="K91" s="18">
        <f>--(Q91="valid")</f>
        <v>1</v>
      </c>
      <c r="L91" s="18">
        <f>--AND(K91=1,F91&lt;&gt;"")</f>
        <v>1</v>
      </c>
      <c r="M91" s="18">
        <f>--AND(K91=1,L91=1,G91&gt;'Leia-me'!$C$11)</f>
        <v>0</v>
      </c>
      <c r="N91" s="18">
        <f>--AND(K91=1,F91="")</f>
        <v>0</v>
      </c>
      <c r="O91" s="18">
        <f>--AND(N91=1,G91&gt;'Leia-me'!$C$11)</f>
        <v>0</v>
      </c>
      <c r="P91" s="19">
        <f>IF(L91=1,G91,"")</f>
        <v>2.0</v>
      </c>
      <c r="Q91" s="11" t="s">
        <v>435</v>
      </c>
      <c r="R91" s="11"/>
    </row>
    <row r="92" spans="1:18" ht="32" customHeight="1">
      <c r="A92" s="9" t="s">
        <v>521</v>
      </c>
      <c r="B92" s="9" t="s">
        <v>259</v>
      </c>
      <c r="C92" s="9" t="s">
        <v>65</v>
      </c>
      <c r="D92" s="9" t="s">
        <v>100</v>
      </c>
      <c r="E92" s="6">
        <v>45728.375</v>
      </c>
      <c r="F92" s="6">
        <v>45731.375</v>
      </c>
      <c r="G92" s="14">
        <f>IF(E92="","",IF(F92="",'Leia-me'!$C$10-E92,F92-E92))</f>
        <v>3.0</v>
      </c>
      <c r="H92" s="20" t="str">
        <f>IF(F92="",IF(G92&gt;'Leia-me'!$C$11,"Aberto vencido","Aberto no prazo"),IF(G92&gt;'Leia-me'!$C$11,"Fora do prazo","Dentro do prazo"))</f>
        <v>Dentro do prazo</v>
      </c>
      <c r="I92" s="9" t="s">
        <v>260</v>
      </c>
      <c r="J92" s="9" t="s">
        <v>67</v>
      </c>
      <c r="K92" s="7">
        <f>--(Q92="valid")</f>
        <v>1</v>
      </c>
      <c r="L92" s="7">
        <f>--AND(K92=1,F92&lt;&gt;"")</f>
        <v>1</v>
      </c>
      <c r="M92" s="7">
        <f>--AND(K92=1,L92=1,G92&gt;'Leia-me'!$C$11)</f>
        <v>0</v>
      </c>
      <c r="N92" s="7">
        <f>--AND(K92=1,F92="")</f>
        <v>0</v>
      </c>
      <c r="O92" s="7">
        <f>--AND(N92=1,G92&gt;'Leia-me'!$C$11)</f>
        <v>0</v>
      </c>
      <c r="P92" s="16">
        <f>IF(L92=1,G92,"")</f>
        <v>3.0</v>
      </c>
      <c r="Q92" s="9" t="s">
        <v>435</v>
      </c>
      <c r="R92" s="9"/>
    </row>
    <row r="93" spans="1:18" ht="32" customHeight="1">
      <c r="A93" s="11" t="s">
        <v>522</v>
      </c>
      <c r="B93" s="11" t="s">
        <v>275</v>
      </c>
      <c r="C93" s="11" t="s">
        <v>60</v>
      </c>
      <c r="D93" s="11" t="s">
        <v>121</v>
      </c>
      <c r="E93" s="12">
        <v>45733.375</v>
      </c>
      <c r="F93" s="12">
        <v>45734.375</v>
      </c>
      <c r="G93" s="17">
        <f>IF(E93="","",IF(F93="",'Leia-me'!$C$10-E93,F93-E93))</f>
        <v>1.0</v>
      </c>
      <c r="H93" s="20" t="str">
        <f>IF(F93="",IF(G93&gt;'Leia-me'!$C$11,"Aberto vencido","Aberto no prazo"),IF(G93&gt;'Leia-me'!$C$11,"Fora do prazo","Dentro do prazo"))</f>
        <v>Dentro do prazo</v>
      </c>
      <c r="I93" s="11" t="s">
        <v>276</v>
      </c>
      <c r="J93" s="11" t="s">
        <v>62</v>
      </c>
      <c r="K93" s="18">
        <f>--(Q93="valid")</f>
        <v>1</v>
      </c>
      <c r="L93" s="18">
        <f>--AND(K93=1,F93&lt;&gt;"")</f>
        <v>1</v>
      </c>
      <c r="M93" s="18">
        <f>--AND(K93=1,L93=1,G93&gt;'Leia-me'!$C$11)</f>
        <v>0</v>
      </c>
      <c r="N93" s="18">
        <f>--AND(K93=1,F93="")</f>
        <v>0</v>
      </c>
      <c r="O93" s="18">
        <f>--AND(N93=1,G93&gt;'Leia-me'!$C$11)</f>
        <v>0</v>
      </c>
      <c r="P93" s="19">
        <f>IF(L93=1,G93,"")</f>
        <v>1.0</v>
      </c>
      <c r="Q93" s="11" t="s">
        <v>435</v>
      </c>
      <c r="R93" s="11"/>
    </row>
    <row r="94" spans="1:18" ht="32" customHeight="1">
      <c r="A94" s="9" t="s">
        <v>523</v>
      </c>
      <c r="B94" s="9" t="s">
        <v>289</v>
      </c>
      <c r="C94" s="9" t="s">
        <v>50</v>
      </c>
      <c r="D94" s="9" t="s">
        <v>49</v>
      </c>
      <c r="E94" s="6">
        <v>45718.375</v>
      </c>
      <c r="F94" s="6">
        <v>45720.375</v>
      </c>
      <c r="G94" s="14">
        <f>IF(E94="","",IF(F94="",'Leia-me'!$C$10-E94,F94-E94))</f>
        <v>2.0</v>
      </c>
      <c r="H94" s="20" t="str">
        <f>IF(F94="",IF(G94&gt;'Leia-me'!$C$11,"Aberto vencido","Aberto no prazo"),IF(G94&gt;'Leia-me'!$C$11,"Fora do prazo","Dentro do prazo"))</f>
        <v>Dentro do prazo</v>
      </c>
      <c r="I94" s="9" t="s">
        <v>290</v>
      </c>
      <c r="J94" s="9" t="s">
        <v>56</v>
      </c>
      <c r="K94" s="7">
        <f>--(Q94="valid")</f>
        <v>1</v>
      </c>
      <c r="L94" s="7">
        <f>--AND(K94=1,F94&lt;&gt;"")</f>
        <v>1</v>
      </c>
      <c r="M94" s="7">
        <f>--AND(K94=1,L94=1,G94&gt;'Leia-me'!$C$11)</f>
        <v>0</v>
      </c>
      <c r="N94" s="7">
        <f>--AND(K94=1,F94="")</f>
        <v>0</v>
      </c>
      <c r="O94" s="7">
        <f>--AND(N94=1,G94&gt;'Leia-me'!$C$11)</f>
        <v>0</v>
      </c>
      <c r="P94" s="16">
        <f>IF(L94=1,G94,"")</f>
        <v>2.0</v>
      </c>
      <c r="Q94" s="9" t="s">
        <v>435</v>
      </c>
      <c r="R94" s="9"/>
    </row>
    <row r="95" spans="1:18" ht="32" customHeight="1">
      <c r="A95" s="11" t="s">
        <v>524</v>
      </c>
      <c r="B95" s="11" t="s">
        <v>303</v>
      </c>
      <c r="C95" s="11" t="s">
        <v>90</v>
      </c>
      <c r="D95" s="11" t="s">
        <v>89</v>
      </c>
      <c r="E95" s="12">
        <v>45723.375</v>
      </c>
      <c r="F95" s="12">
        <v>45726.375</v>
      </c>
      <c r="G95" s="17">
        <f>IF(E95="","",IF(F95="",'Leia-me'!$C$10-E95,F95-E95))</f>
        <v>3.0</v>
      </c>
      <c r="H95" s="20" t="str">
        <f>IF(F95="",IF(G95&gt;'Leia-me'!$C$11,"Aberto vencido","Aberto no prazo"),IF(G95&gt;'Leia-me'!$C$11,"Fora do prazo","Dentro do prazo"))</f>
        <v>Dentro do prazo</v>
      </c>
      <c r="I95" s="11" t="s">
        <v>304</v>
      </c>
      <c r="J95" s="11" t="s">
        <v>92</v>
      </c>
      <c r="K95" s="18">
        <f>--(Q95="valid")</f>
        <v>1</v>
      </c>
      <c r="L95" s="18">
        <f>--AND(K95=1,F95&lt;&gt;"")</f>
        <v>1</v>
      </c>
      <c r="M95" s="18">
        <f>--AND(K95=1,L95=1,G95&gt;'Leia-me'!$C$11)</f>
        <v>0</v>
      </c>
      <c r="N95" s="18">
        <f>--AND(K95=1,F95="")</f>
        <v>0</v>
      </c>
      <c r="O95" s="18">
        <f>--AND(N95=1,G95&gt;'Leia-me'!$C$11)</f>
        <v>0</v>
      </c>
      <c r="P95" s="19">
        <f>IF(L95=1,G95,"")</f>
        <v>3.0</v>
      </c>
      <c r="Q95" s="11" t="s">
        <v>435</v>
      </c>
      <c r="R95" s="11"/>
    </row>
    <row r="96" spans="1:18" ht="32" customHeight="1">
      <c r="A96" s="9" t="s">
        <v>525</v>
      </c>
      <c r="B96" s="9" t="s">
        <v>317</v>
      </c>
      <c r="C96" s="9" t="s">
        <v>85</v>
      </c>
      <c r="D96" s="9" t="s">
        <v>112</v>
      </c>
      <c r="E96" s="6">
        <v>45728.375</v>
      </c>
      <c r="F96" s="6">
        <v>45729.375</v>
      </c>
      <c r="G96" s="14">
        <f>IF(E96="","",IF(F96="",'Leia-me'!$C$10-E96,F96-E96))</f>
        <v>1.0</v>
      </c>
      <c r="H96" s="20" t="str">
        <f>IF(F96="",IF(G96&gt;'Leia-me'!$C$11,"Aberto vencido","Aberto no prazo"),IF(G96&gt;'Leia-me'!$C$11,"Fora do prazo","Dentro do prazo"))</f>
        <v>Dentro do prazo</v>
      </c>
      <c r="I96" s="9" t="s">
        <v>318</v>
      </c>
      <c r="J96" s="9" t="s">
        <v>87</v>
      </c>
      <c r="K96" s="7">
        <f>--(Q96="valid")</f>
        <v>1</v>
      </c>
      <c r="L96" s="7">
        <f>--AND(K96=1,F96&lt;&gt;"")</f>
        <v>1</v>
      </c>
      <c r="M96" s="7">
        <f>--AND(K96=1,L96=1,G96&gt;'Leia-me'!$C$11)</f>
        <v>0</v>
      </c>
      <c r="N96" s="7">
        <f>--AND(K96=1,F96="")</f>
        <v>0</v>
      </c>
      <c r="O96" s="7">
        <f>--AND(N96=1,G96&gt;'Leia-me'!$C$11)</f>
        <v>0</v>
      </c>
      <c r="P96" s="16">
        <f>IF(L96=1,G96,"")</f>
        <v>1.0</v>
      </c>
      <c r="Q96" s="9" t="s">
        <v>435</v>
      </c>
      <c r="R96" s="9"/>
    </row>
    <row r="97" spans="1:18" ht="32" customHeight="1">
      <c r="A97" s="11" t="s">
        <v>526</v>
      </c>
      <c r="B97" s="11" t="s">
        <v>331</v>
      </c>
      <c r="C97" s="11" t="s">
        <v>80</v>
      </c>
      <c r="D97" s="11" t="s">
        <v>133</v>
      </c>
      <c r="E97" s="12">
        <v>45733.375</v>
      </c>
      <c r="F97" s="12">
        <v>45735.375</v>
      </c>
      <c r="G97" s="17">
        <f>IF(E97="","",IF(F97="",'Leia-me'!$C$10-E97,F97-E97))</f>
        <v>2.0</v>
      </c>
      <c r="H97" s="20" t="str">
        <f>IF(F97="",IF(G97&gt;'Leia-me'!$C$11,"Aberto vencido","Aberto no prazo"),IF(G97&gt;'Leia-me'!$C$11,"Fora do prazo","Dentro do prazo"))</f>
        <v>Dentro do prazo</v>
      </c>
      <c r="I97" s="11" t="s">
        <v>332</v>
      </c>
      <c r="J97" s="11" t="s">
        <v>82</v>
      </c>
      <c r="K97" s="18">
        <f>--(Q97="valid")</f>
        <v>1</v>
      </c>
      <c r="L97" s="18">
        <f>--AND(K97=1,F97&lt;&gt;"")</f>
        <v>1</v>
      </c>
      <c r="M97" s="18">
        <f>--AND(K97=1,L97=1,G97&gt;'Leia-me'!$C$11)</f>
        <v>0</v>
      </c>
      <c r="N97" s="18">
        <f>--AND(K97=1,F97="")</f>
        <v>0</v>
      </c>
      <c r="O97" s="18">
        <f>--AND(N97=1,G97&gt;'Leia-me'!$C$11)</f>
        <v>0</v>
      </c>
      <c r="P97" s="19">
        <f>IF(L97=1,G97,"")</f>
        <v>2.0</v>
      </c>
      <c r="Q97" s="11" t="s">
        <v>435</v>
      </c>
      <c r="R97" s="11"/>
    </row>
    <row r="98" spans="1:18" ht="32" customHeight="1">
      <c r="A98" s="9" t="s">
        <v>527</v>
      </c>
      <c r="B98" s="9" t="s">
        <v>345</v>
      </c>
      <c r="C98" s="9" t="s">
        <v>75</v>
      </c>
      <c r="D98" s="9" t="s">
        <v>74</v>
      </c>
      <c r="E98" s="6">
        <v>45718.375</v>
      </c>
      <c r="F98" s="6">
        <v>45721.375</v>
      </c>
      <c r="G98" s="14">
        <f>IF(E98="","",IF(F98="",'Leia-me'!$C$10-E98,F98-E98))</f>
        <v>3.0</v>
      </c>
      <c r="H98" s="20" t="str">
        <f>IF(F98="",IF(G98&gt;'Leia-me'!$C$11,"Aberto vencido","Aberto no prazo"),IF(G98&gt;'Leia-me'!$C$11,"Fora do prazo","Dentro do prazo"))</f>
        <v>Dentro do prazo</v>
      </c>
      <c r="I98" s="9" t="s">
        <v>346</v>
      </c>
      <c r="J98" s="9" t="s">
        <v>77</v>
      </c>
      <c r="K98" s="7">
        <f>--(Q98="valid")</f>
        <v>1</v>
      </c>
      <c r="L98" s="7">
        <f>--AND(K98=1,F98&lt;&gt;"")</f>
        <v>1</v>
      </c>
      <c r="M98" s="7">
        <f>--AND(K98=1,L98=1,G98&gt;'Leia-me'!$C$11)</f>
        <v>0</v>
      </c>
      <c r="N98" s="7">
        <f>--AND(K98=1,F98="")</f>
        <v>0</v>
      </c>
      <c r="O98" s="7">
        <f>--AND(N98=1,G98&gt;'Leia-me'!$C$11)</f>
        <v>0</v>
      </c>
      <c r="P98" s="16">
        <f>IF(L98=1,G98,"")</f>
        <v>3.0</v>
      </c>
      <c r="Q98" s="9" t="s">
        <v>435</v>
      </c>
      <c r="R98" s="9"/>
    </row>
    <row r="99" spans="1:18" ht="32" customHeight="1">
      <c r="A99" s="11" t="s">
        <v>528</v>
      </c>
      <c r="B99" s="11" t="s">
        <v>58</v>
      </c>
      <c r="C99" s="11" t="s">
        <v>60</v>
      </c>
      <c r="D99" s="11" t="s">
        <v>59</v>
      </c>
      <c r="E99" s="12">
        <v>45723.375</v>
      </c>
      <c r="F99" s="12">
        <v>45724.375</v>
      </c>
      <c r="G99" s="17">
        <f>IF(E99="","",IF(F99="",'Leia-me'!$C$10-E99,F99-E99))</f>
        <v>1.0</v>
      </c>
      <c r="H99" s="20" t="str">
        <f>IF(F99="",IF(G99&gt;'Leia-me'!$C$11,"Aberto vencido","Aberto no prazo"),IF(G99&gt;'Leia-me'!$C$11,"Fora do prazo","Dentro do prazo"))</f>
        <v>Dentro do prazo</v>
      </c>
      <c r="I99" s="11" t="s">
        <v>61</v>
      </c>
      <c r="J99" s="11" t="s">
        <v>62</v>
      </c>
      <c r="K99" s="18">
        <f>--(Q99="valid")</f>
        <v>1</v>
      </c>
      <c r="L99" s="18">
        <f>--AND(K99=1,F99&lt;&gt;"")</f>
        <v>1</v>
      </c>
      <c r="M99" s="18">
        <f>--AND(K99=1,L99=1,G99&gt;'Leia-me'!$C$11)</f>
        <v>0</v>
      </c>
      <c r="N99" s="18">
        <f>--AND(K99=1,F99="")</f>
        <v>0</v>
      </c>
      <c r="O99" s="18">
        <f>--AND(N99=1,G99&gt;'Leia-me'!$C$11)</f>
        <v>0</v>
      </c>
      <c r="P99" s="19">
        <f>IF(L99=1,G99,"")</f>
        <v>1.0</v>
      </c>
      <c r="Q99" s="11" t="s">
        <v>435</v>
      </c>
      <c r="R99" s="11"/>
    </row>
    <row r="100" spans="1:18" ht="32" customHeight="1">
      <c r="A100" s="9" t="s">
        <v>529</v>
      </c>
      <c r="B100" s="9" t="s">
        <v>93</v>
      </c>
      <c r="C100" s="9" t="s">
        <v>50</v>
      </c>
      <c r="D100" s="9" t="s">
        <v>94</v>
      </c>
      <c r="E100" s="6">
        <v>45728.375</v>
      </c>
      <c r="F100" s="6">
        <v>45730.375</v>
      </c>
      <c r="G100" s="14">
        <f>IF(E100="","",IF(F100="",'Leia-me'!$C$10-E100,F100-E100))</f>
        <v>2.0</v>
      </c>
      <c r="H100" s="20" t="str">
        <f>IF(F100="",IF(G100&gt;'Leia-me'!$C$11,"Aberto vencido","Aberto no prazo"),IF(G100&gt;'Leia-me'!$C$11,"Fora do prazo","Dentro do prazo"))</f>
        <v>Dentro do prazo</v>
      </c>
      <c r="I100" s="9" t="s">
        <v>95</v>
      </c>
      <c r="J100" s="9" t="s">
        <v>56</v>
      </c>
      <c r="K100" s="7">
        <f>--(Q100="valid")</f>
        <v>1</v>
      </c>
      <c r="L100" s="7">
        <f>--AND(K100=1,F100&lt;&gt;"")</f>
        <v>1</v>
      </c>
      <c r="M100" s="7">
        <f>--AND(K100=1,L100=1,G100&gt;'Leia-me'!$C$11)</f>
        <v>0</v>
      </c>
      <c r="N100" s="7">
        <f>--AND(K100=1,F100="")</f>
        <v>0</v>
      </c>
      <c r="O100" s="7">
        <f>--AND(N100=1,G100&gt;'Leia-me'!$C$11)</f>
        <v>0</v>
      </c>
      <c r="P100" s="16">
        <f>IF(L100=1,G100,"")</f>
        <v>2.0</v>
      </c>
      <c r="Q100" s="9" t="s">
        <v>435</v>
      </c>
      <c r="R100" s="9"/>
    </row>
    <row r="101" spans="1:18" ht="32" customHeight="1">
      <c r="A101" s="11" t="s">
        <v>530</v>
      </c>
      <c r="B101" s="11" t="s">
        <v>114</v>
      </c>
      <c r="C101" s="11" t="s">
        <v>90</v>
      </c>
      <c r="D101" s="11" t="s">
        <v>115</v>
      </c>
      <c r="E101" s="12">
        <v>45733.375</v>
      </c>
      <c r="F101" s="12">
        <v>45736.375</v>
      </c>
      <c r="G101" s="17">
        <f>IF(E101="","",IF(F101="",'Leia-me'!$C$10-E101,F101-E101))</f>
        <v>3.0</v>
      </c>
      <c r="H101" s="20" t="str">
        <f>IF(F101="",IF(G101&gt;'Leia-me'!$C$11,"Aberto vencido","Aberto no prazo"),IF(G101&gt;'Leia-me'!$C$11,"Fora do prazo","Dentro do prazo"))</f>
        <v>Dentro do prazo</v>
      </c>
      <c r="I101" s="11" t="s">
        <v>116</v>
      </c>
      <c r="J101" s="11" t="s">
        <v>92</v>
      </c>
      <c r="K101" s="18">
        <f>--(Q101="valid")</f>
        <v>1</v>
      </c>
      <c r="L101" s="18">
        <f>--AND(K101=1,F101&lt;&gt;"")</f>
        <v>1</v>
      </c>
      <c r="M101" s="18">
        <f>--AND(K101=1,L101=1,G101&gt;'Leia-me'!$C$11)</f>
        <v>0</v>
      </c>
      <c r="N101" s="18">
        <f>--AND(K101=1,F101="")</f>
        <v>0</v>
      </c>
      <c r="O101" s="18">
        <f>--AND(N101=1,G101&gt;'Leia-me'!$C$11)</f>
        <v>0</v>
      </c>
      <c r="P101" s="19">
        <f>IF(L101=1,G101,"")</f>
        <v>3.0</v>
      </c>
      <c r="Q101" s="11" t="s">
        <v>435</v>
      </c>
      <c r="R101" s="11"/>
    </row>
    <row r="102" spans="1:18" ht="32" customHeight="1">
      <c r="A102" s="9" t="s">
        <v>531</v>
      </c>
      <c r="B102" s="9" t="s">
        <v>135</v>
      </c>
      <c r="C102" s="9" t="s">
        <v>85</v>
      </c>
      <c r="D102" s="9" t="s">
        <v>136</v>
      </c>
      <c r="E102" s="6">
        <v>45718.375</v>
      </c>
      <c r="F102" s="6">
        <v>45719.375</v>
      </c>
      <c r="G102" s="14">
        <f>IF(E102="","",IF(F102="",'Leia-me'!$C$10-E102,F102-E102))</f>
        <v>1.0</v>
      </c>
      <c r="H102" s="20" t="str">
        <f>IF(F102="",IF(G102&gt;'Leia-me'!$C$11,"Aberto vencido","Aberto no prazo"),IF(G102&gt;'Leia-me'!$C$11,"Fora do prazo","Dentro do prazo"))</f>
        <v>Dentro do prazo</v>
      </c>
      <c r="I102" s="9" t="s">
        <v>137</v>
      </c>
      <c r="J102" s="9" t="s">
        <v>87</v>
      </c>
      <c r="K102" s="7">
        <f>--(Q102="valid")</f>
        <v>1</v>
      </c>
      <c r="L102" s="7">
        <f>--AND(K102=1,F102&lt;&gt;"")</f>
        <v>1</v>
      </c>
      <c r="M102" s="7">
        <f>--AND(K102=1,L102=1,G102&gt;'Leia-me'!$C$11)</f>
        <v>0</v>
      </c>
      <c r="N102" s="7">
        <f>--AND(K102=1,F102="")</f>
        <v>0</v>
      </c>
      <c r="O102" s="7">
        <f>--AND(N102=1,G102&gt;'Leia-me'!$C$11)</f>
        <v>0</v>
      </c>
      <c r="P102" s="16">
        <f>IF(L102=1,G102,"")</f>
        <v>1.0</v>
      </c>
      <c r="Q102" s="9" t="s">
        <v>435</v>
      </c>
      <c r="R102" s="9"/>
    </row>
    <row r="103" spans="1:18" ht="32" customHeight="1">
      <c r="A103" s="11" t="s">
        <v>532</v>
      </c>
      <c r="B103" s="11" t="s">
        <v>151</v>
      </c>
      <c r="C103" s="11" t="s">
        <v>80</v>
      </c>
      <c r="D103" s="11" t="s">
        <v>79</v>
      </c>
      <c r="E103" s="12">
        <v>45723.375</v>
      </c>
      <c r="F103" s="12">
        <v>45725.375</v>
      </c>
      <c r="G103" s="17">
        <f>IF(E103="","",IF(F103="",'Leia-me'!$C$10-E103,F103-E103))</f>
        <v>2.0</v>
      </c>
      <c r="H103" s="20" t="str">
        <f>IF(F103="",IF(G103&gt;'Leia-me'!$C$11,"Aberto vencido","Aberto no prazo"),IF(G103&gt;'Leia-me'!$C$11,"Fora do prazo","Dentro do prazo"))</f>
        <v>Dentro do prazo</v>
      </c>
      <c r="I103" s="11" t="s">
        <v>152</v>
      </c>
      <c r="J103" s="11" t="s">
        <v>82</v>
      </c>
      <c r="K103" s="18">
        <f>--(Q103="valid")</f>
        <v>1</v>
      </c>
      <c r="L103" s="18">
        <f>--AND(K103=1,F103&lt;&gt;"")</f>
        <v>1</v>
      </c>
      <c r="M103" s="18">
        <f>--AND(K103=1,L103=1,G103&gt;'Leia-me'!$C$11)</f>
        <v>0</v>
      </c>
      <c r="N103" s="18">
        <f>--AND(K103=1,F103="")</f>
        <v>0</v>
      </c>
      <c r="O103" s="18">
        <f>--AND(N103=1,G103&gt;'Leia-me'!$C$11)</f>
        <v>0</v>
      </c>
      <c r="P103" s="19">
        <f>IF(L103=1,G103,"")</f>
        <v>2.0</v>
      </c>
      <c r="Q103" s="11" t="s">
        <v>435</v>
      </c>
      <c r="R103" s="11"/>
    </row>
    <row r="104" spans="1:18" ht="32" customHeight="1">
      <c r="A104" s="9" t="s">
        <v>533</v>
      </c>
      <c r="B104" s="9" t="s">
        <v>165</v>
      </c>
      <c r="C104" s="9" t="s">
        <v>75</v>
      </c>
      <c r="D104" s="9" t="s">
        <v>106</v>
      </c>
      <c r="E104" s="6">
        <v>45728.375</v>
      </c>
      <c r="F104" s="6">
        <v>45731.375</v>
      </c>
      <c r="G104" s="14">
        <f>IF(E104="","",IF(F104="",'Leia-me'!$C$10-E104,F104-E104))</f>
        <v>3.0</v>
      </c>
      <c r="H104" s="20" t="str">
        <f>IF(F104="",IF(G104&gt;'Leia-me'!$C$11,"Aberto vencido","Aberto no prazo"),IF(G104&gt;'Leia-me'!$C$11,"Fora do prazo","Dentro do prazo"))</f>
        <v>Dentro do prazo</v>
      </c>
      <c r="I104" s="9" t="s">
        <v>166</v>
      </c>
      <c r="J104" s="9" t="s">
        <v>77</v>
      </c>
      <c r="K104" s="7">
        <f>--(Q104="valid")</f>
        <v>1</v>
      </c>
      <c r="L104" s="7">
        <f>--AND(K104=1,F104&lt;&gt;"")</f>
        <v>1</v>
      </c>
      <c r="M104" s="7">
        <f>--AND(K104=1,L104=1,G104&gt;'Leia-me'!$C$11)</f>
        <v>0</v>
      </c>
      <c r="N104" s="7">
        <f>--AND(K104=1,F104="")</f>
        <v>0</v>
      </c>
      <c r="O104" s="7">
        <f>--AND(N104=1,G104&gt;'Leia-me'!$C$11)</f>
        <v>0</v>
      </c>
      <c r="P104" s="16">
        <f>IF(L104=1,G104,"")</f>
        <v>3.0</v>
      </c>
      <c r="Q104" s="9" t="s">
        <v>435</v>
      </c>
      <c r="R104" s="9"/>
    </row>
    <row r="105" spans="1:18" ht="32" customHeight="1">
      <c r="A105" s="11" t="s">
        <v>534</v>
      </c>
      <c r="B105" s="11" t="s">
        <v>179</v>
      </c>
      <c r="C105" s="11" t="s">
        <v>70</v>
      </c>
      <c r="D105" s="11" t="s">
        <v>127</v>
      </c>
      <c r="E105" s="12">
        <v>45733.375</v>
      </c>
      <c r="F105" s="12">
        <v>45734.375</v>
      </c>
      <c r="G105" s="17">
        <f>IF(E105="","",IF(F105="",'Leia-me'!$C$10-E105,F105-E105))</f>
        <v>1.0</v>
      </c>
      <c r="H105" s="20" t="str">
        <f>IF(F105="",IF(G105&gt;'Leia-me'!$C$11,"Aberto vencido","Aberto no prazo"),IF(G105&gt;'Leia-me'!$C$11,"Fora do prazo","Dentro do prazo"))</f>
        <v>Dentro do prazo</v>
      </c>
      <c r="I105" s="11" t="s">
        <v>180</v>
      </c>
      <c r="J105" s="11" t="s">
        <v>72</v>
      </c>
      <c r="K105" s="18">
        <f>--(Q105="valid")</f>
        <v>1</v>
      </c>
      <c r="L105" s="18">
        <f>--AND(K105=1,F105&lt;&gt;"")</f>
        <v>1</v>
      </c>
      <c r="M105" s="18">
        <f>--AND(K105=1,L105=1,G105&gt;'Leia-me'!$C$11)</f>
        <v>0</v>
      </c>
      <c r="N105" s="18">
        <f>--AND(K105=1,F105="")</f>
        <v>0</v>
      </c>
      <c r="O105" s="18">
        <f>--AND(N105=1,G105&gt;'Leia-me'!$C$11)</f>
        <v>0</v>
      </c>
      <c r="P105" s="19">
        <f>IF(L105=1,G105,"")</f>
        <v>1.0</v>
      </c>
      <c r="Q105" s="11" t="s">
        <v>435</v>
      </c>
      <c r="R105" s="11"/>
    </row>
    <row r="106" spans="1:18" ht="32" customHeight="1">
      <c r="A106" s="9" t="s">
        <v>535</v>
      </c>
      <c r="B106" s="9" t="s">
        <v>195</v>
      </c>
      <c r="C106" s="9" t="s">
        <v>65</v>
      </c>
      <c r="D106" s="9" t="s">
        <v>64</v>
      </c>
      <c r="E106" s="6">
        <v>45718.375</v>
      </c>
      <c r="F106" s="6">
        <v>45720.375</v>
      </c>
      <c r="G106" s="14">
        <f>IF(E106="","",IF(F106="",'Leia-me'!$C$10-E106,F106-E106))</f>
        <v>2.0</v>
      </c>
      <c r="H106" s="20" t="str">
        <f>IF(F106="",IF(G106&gt;'Leia-me'!$C$11,"Aberto vencido","Aberto no prazo"),IF(G106&gt;'Leia-me'!$C$11,"Fora do prazo","Dentro do prazo"))</f>
        <v>Dentro do prazo</v>
      </c>
      <c r="I106" s="9" t="s">
        <v>196</v>
      </c>
      <c r="J106" s="9" t="s">
        <v>67</v>
      </c>
      <c r="K106" s="7">
        <f>--(Q106="valid")</f>
        <v>1</v>
      </c>
      <c r="L106" s="7">
        <f>--AND(K106=1,F106&lt;&gt;"")</f>
        <v>1</v>
      </c>
      <c r="M106" s="7">
        <f>--AND(K106=1,L106=1,G106&gt;'Leia-me'!$C$11)</f>
        <v>0</v>
      </c>
      <c r="N106" s="7">
        <f>--AND(K106=1,F106="")</f>
        <v>0</v>
      </c>
      <c r="O106" s="7">
        <f>--AND(N106=1,G106&gt;'Leia-me'!$C$11)</f>
        <v>0</v>
      </c>
      <c r="P106" s="16">
        <f>IF(L106=1,G106,"")</f>
        <v>2.0</v>
      </c>
      <c r="Q106" s="9" t="s">
        <v>435</v>
      </c>
      <c r="R106" s="9"/>
    </row>
    <row r="107" spans="1:18" ht="32" customHeight="1">
      <c r="A107" s="11" t="s">
        <v>536</v>
      </c>
      <c r="B107" s="11" t="s">
        <v>209</v>
      </c>
      <c r="C107" s="11" t="s">
        <v>60</v>
      </c>
      <c r="D107" s="11" t="s">
        <v>97</v>
      </c>
      <c r="E107" s="12">
        <v>45723.375</v>
      </c>
      <c r="F107" s="12">
        <v>45726.375</v>
      </c>
      <c r="G107" s="17">
        <f>IF(E107="","",IF(F107="",'Leia-me'!$C$10-E107,F107-E107))</f>
        <v>3.0</v>
      </c>
      <c r="H107" s="20" t="str">
        <f>IF(F107="",IF(G107&gt;'Leia-me'!$C$11,"Aberto vencido","Aberto no prazo"),IF(G107&gt;'Leia-me'!$C$11,"Fora do prazo","Dentro do prazo"))</f>
        <v>Dentro do prazo</v>
      </c>
      <c r="I107" s="11" t="s">
        <v>210</v>
      </c>
      <c r="J107" s="11" t="s">
        <v>62</v>
      </c>
      <c r="K107" s="18">
        <f>--(Q107="valid")</f>
        <v>1</v>
      </c>
      <c r="L107" s="18">
        <f>--AND(K107=1,F107&lt;&gt;"")</f>
        <v>1</v>
      </c>
      <c r="M107" s="18">
        <f>--AND(K107=1,L107=1,G107&gt;'Leia-me'!$C$11)</f>
        <v>0</v>
      </c>
      <c r="N107" s="18">
        <f>--AND(K107=1,F107="")</f>
        <v>0</v>
      </c>
      <c r="O107" s="18">
        <f>--AND(N107=1,G107&gt;'Leia-me'!$C$11)</f>
        <v>0</v>
      </c>
      <c r="P107" s="19">
        <f>IF(L107=1,G107,"")</f>
        <v>3.0</v>
      </c>
      <c r="Q107" s="11" t="s">
        <v>435</v>
      </c>
      <c r="R107" s="11"/>
    </row>
    <row r="108" spans="1:18" ht="32" customHeight="1">
      <c r="A108" s="9" t="s">
        <v>537</v>
      </c>
      <c r="B108" s="9" t="s">
        <v>223</v>
      </c>
      <c r="C108" s="9" t="s">
        <v>50</v>
      </c>
      <c r="D108" s="9" t="s">
        <v>118</v>
      </c>
      <c r="E108" s="6">
        <v>45728.375</v>
      </c>
      <c r="F108" s="6">
        <v>45729.375</v>
      </c>
      <c r="G108" s="14">
        <f>IF(E108="","",IF(F108="",'Leia-me'!$C$10-E108,F108-E108))</f>
        <v>1.0</v>
      </c>
      <c r="H108" s="20" t="str">
        <f>IF(F108="",IF(G108&gt;'Leia-me'!$C$11,"Aberto vencido","Aberto no prazo"),IF(G108&gt;'Leia-me'!$C$11,"Fora do prazo","Dentro do prazo"))</f>
        <v>Dentro do prazo</v>
      </c>
      <c r="I108" s="9" t="s">
        <v>224</v>
      </c>
      <c r="J108" s="9" t="s">
        <v>56</v>
      </c>
      <c r="K108" s="7">
        <f>--(Q108="valid")</f>
        <v>1</v>
      </c>
      <c r="L108" s="7">
        <f>--AND(K108=1,F108&lt;&gt;"")</f>
        <v>1</v>
      </c>
      <c r="M108" s="7">
        <f>--AND(K108=1,L108=1,G108&gt;'Leia-me'!$C$11)</f>
        <v>0</v>
      </c>
      <c r="N108" s="7">
        <f>--AND(K108=1,F108="")</f>
        <v>0</v>
      </c>
      <c r="O108" s="7">
        <f>--AND(N108=1,G108&gt;'Leia-me'!$C$11)</f>
        <v>0</v>
      </c>
      <c r="P108" s="16">
        <f>IF(L108=1,G108,"")</f>
        <v>1.0</v>
      </c>
      <c r="Q108" s="9" t="s">
        <v>435</v>
      </c>
      <c r="R108" s="9"/>
    </row>
    <row r="109" spans="1:18" ht="32" customHeight="1">
      <c r="A109" s="11" t="s">
        <v>538</v>
      </c>
      <c r="B109" s="11" t="s">
        <v>237</v>
      </c>
      <c r="C109" s="11" t="s">
        <v>90</v>
      </c>
      <c r="D109" s="11" t="s">
        <v>139</v>
      </c>
      <c r="E109" s="12">
        <v>45733.375</v>
      </c>
      <c r="F109" s="12">
        <v>45735.375</v>
      </c>
      <c r="G109" s="17">
        <f>IF(E109="","",IF(F109="",'Leia-me'!$C$10-E109,F109-E109))</f>
        <v>2.0</v>
      </c>
      <c r="H109" s="20" t="str">
        <f>IF(F109="",IF(G109&gt;'Leia-me'!$C$11,"Aberto vencido","Aberto no prazo"),IF(G109&gt;'Leia-me'!$C$11,"Fora do prazo","Dentro do prazo"))</f>
        <v>Dentro do prazo</v>
      </c>
      <c r="I109" s="11" t="s">
        <v>238</v>
      </c>
      <c r="J109" s="11" t="s">
        <v>92</v>
      </c>
      <c r="K109" s="18">
        <f>--(Q109="valid")</f>
        <v>1</v>
      </c>
      <c r="L109" s="18">
        <f>--AND(K109=1,F109&lt;&gt;"")</f>
        <v>1</v>
      </c>
      <c r="M109" s="18">
        <f>--AND(K109=1,L109=1,G109&gt;'Leia-me'!$C$11)</f>
        <v>0</v>
      </c>
      <c r="N109" s="18">
        <f>--AND(K109=1,F109="")</f>
        <v>0</v>
      </c>
      <c r="O109" s="18">
        <f>--AND(N109=1,G109&gt;'Leia-me'!$C$11)</f>
        <v>0</v>
      </c>
      <c r="P109" s="19">
        <f>IF(L109=1,G109,"")</f>
        <v>2.0</v>
      </c>
      <c r="Q109" s="11" t="s">
        <v>435</v>
      </c>
      <c r="R109" s="11"/>
    </row>
    <row r="110" spans="1:18" ht="32" customHeight="1">
      <c r="A110" s="9" t="s">
        <v>539</v>
      </c>
      <c r="B110" s="9" t="s">
        <v>251</v>
      </c>
      <c r="C110" s="9" t="s">
        <v>85</v>
      </c>
      <c r="D110" s="9" t="s">
        <v>84</v>
      </c>
      <c r="E110" s="6">
        <v>45718.375</v>
      </c>
      <c r="F110" s="6">
        <v>45721.375</v>
      </c>
      <c r="G110" s="14">
        <f>IF(E110="","",IF(F110="",'Leia-me'!$C$10-E110,F110-E110))</f>
        <v>3.0</v>
      </c>
      <c r="H110" s="20" t="str">
        <f>IF(F110="",IF(G110&gt;'Leia-me'!$C$11,"Aberto vencido","Aberto no prazo"),IF(G110&gt;'Leia-me'!$C$11,"Fora do prazo","Dentro do prazo"))</f>
        <v>Dentro do prazo</v>
      </c>
      <c r="I110" s="9" t="s">
        <v>252</v>
      </c>
      <c r="J110" s="9" t="s">
        <v>87</v>
      </c>
      <c r="K110" s="7">
        <f>--(Q110="valid")</f>
        <v>1</v>
      </c>
      <c r="L110" s="7">
        <f>--AND(K110=1,F110&lt;&gt;"")</f>
        <v>1</v>
      </c>
      <c r="M110" s="7">
        <f>--AND(K110=1,L110=1,G110&gt;'Leia-me'!$C$11)</f>
        <v>0</v>
      </c>
      <c r="N110" s="7">
        <f>--AND(K110=1,F110="")</f>
        <v>0</v>
      </c>
      <c r="O110" s="7">
        <f>--AND(N110=1,G110&gt;'Leia-me'!$C$11)</f>
        <v>0</v>
      </c>
      <c r="P110" s="16">
        <f>IF(L110=1,G110,"")</f>
        <v>3.0</v>
      </c>
      <c r="Q110" s="9" t="s">
        <v>435</v>
      </c>
      <c r="R110" s="9"/>
    </row>
    <row r="111" spans="1:18" ht="32" customHeight="1">
      <c r="A111" s="11" t="s">
        <v>540</v>
      </c>
      <c r="B111" s="11" t="s">
        <v>265</v>
      </c>
      <c r="C111" s="11" t="s">
        <v>80</v>
      </c>
      <c r="D111" s="11" t="s">
        <v>109</v>
      </c>
      <c r="E111" s="12">
        <v>45723.375</v>
      </c>
      <c r="F111" s="12">
        <v>45724.375</v>
      </c>
      <c r="G111" s="17">
        <f>IF(E111="","",IF(F111="",'Leia-me'!$C$10-E111,F111-E111))</f>
        <v>1.0</v>
      </c>
      <c r="H111" s="20" t="str">
        <f>IF(F111="",IF(G111&gt;'Leia-me'!$C$11,"Aberto vencido","Aberto no prazo"),IF(G111&gt;'Leia-me'!$C$11,"Fora do prazo","Dentro do prazo"))</f>
        <v>Dentro do prazo</v>
      </c>
      <c r="I111" s="11" t="s">
        <v>267</v>
      </c>
      <c r="J111" s="11" t="s">
        <v>82</v>
      </c>
      <c r="K111" s="18">
        <f>--(Q111="valid")</f>
        <v>1</v>
      </c>
      <c r="L111" s="18">
        <f>--AND(K111=1,F111&lt;&gt;"")</f>
        <v>1</v>
      </c>
      <c r="M111" s="18">
        <f>--AND(K111=1,L111=1,G111&gt;'Leia-me'!$C$11)</f>
        <v>0</v>
      </c>
      <c r="N111" s="18">
        <f>--AND(K111=1,F111="")</f>
        <v>0</v>
      </c>
      <c r="O111" s="18">
        <f>--AND(N111=1,G111&gt;'Leia-me'!$C$11)</f>
        <v>0</v>
      </c>
      <c r="P111" s="19">
        <f>IF(L111=1,G111,"")</f>
        <v>1.0</v>
      </c>
      <c r="Q111" s="11" t="s">
        <v>435</v>
      </c>
      <c r="R111" s="11"/>
    </row>
    <row r="112" spans="1:18" ht="32" customHeight="1">
      <c r="A112" s="9" t="s">
        <v>541</v>
      </c>
      <c r="B112" s="9" t="s">
        <v>281</v>
      </c>
      <c r="C112" s="9" t="s">
        <v>75</v>
      </c>
      <c r="D112" s="9" t="s">
        <v>130</v>
      </c>
      <c r="E112" s="6">
        <v>45728.375</v>
      </c>
      <c r="F112" s="6">
        <v>45730.375</v>
      </c>
      <c r="G112" s="14">
        <f>IF(E112="","",IF(F112="",'Leia-me'!$C$10-E112,F112-E112))</f>
        <v>2.0</v>
      </c>
      <c r="H112" s="20" t="str">
        <f>IF(F112="",IF(G112&gt;'Leia-me'!$C$11,"Aberto vencido","Aberto no prazo"),IF(G112&gt;'Leia-me'!$C$11,"Fora do prazo","Dentro do prazo"))</f>
        <v>Dentro do prazo</v>
      </c>
      <c r="I112" s="9" t="s">
        <v>282</v>
      </c>
      <c r="J112" s="9" t="s">
        <v>77</v>
      </c>
      <c r="K112" s="7">
        <f>--(Q112="valid")</f>
        <v>1</v>
      </c>
      <c r="L112" s="7">
        <f>--AND(K112=1,F112&lt;&gt;"")</f>
        <v>1</v>
      </c>
      <c r="M112" s="7">
        <f>--AND(K112=1,L112=1,G112&gt;'Leia-me'!$C$11)</f>
        <v>0</v>
      </c>
      <c r="N112" s="7">
        <f>--AND(K112=1,F112="")</f>
        <v>0</v>
      </c>
      <c r="O112" s="7">
        <f>--AND(N112=1,G112&gt;'Leia-me'!$C$11)</f>
        <v>0</v>
      </c>
      <c r="P112" s="16">
        <f>IF(L112=1,G112,"")</f>
        <v>2.0</v>
      </c>
      <c r="Q112" s="9" t="s">
        <v>435</v>
      </c>
      <c r="R112" s="9"/>
    </row>
    <row r="113" spans="1:18" ht="32" customHeight="1">
      <c r="A113" s="11" t="s">
        <v>542</v>
      </c>
      <c r="B113" s="11" t="s">
        <v>295</v>
      </c>
      <c r="C113" s="11" t="s">
        <v>70</v>
      </c>
      <c r="D113" s="11" t="s">
        <v>69</v>
      </c>
      <c r="E113" s="12">
        <v>45733.375</v>
      </c>
      <c r="F113" s="12">
        <v>45736.375</v>
      </c>
      <c r="G113" s="17">
        <f>IF(E113="","",IF(F113="",'Leia-me'!$C$10-E113,F113-E113))</f>
        <v>3.0</v>
      </c>
      <c r="H113" s="20" t="str">
        <f>IF(F113="",IF(G113&gt;'Leia-me'!$C$11,"Aberto vencido","Aberto no prazo"),IF(G113&gt;'Leia-me'!$C$11,"Fora do prazo","Dentro do prazo"))</f>
        <v>Dentro do prazo</v>
      </c>
      <c r="I113" s="11" t="s">
        <v>296</v>
      </c>
      <c r="J113" s="11" t="s">
        <v>72</v>
      </c>
      <c r="K113" s="18">
        <f>--(Q113="valid")</f>
        <v>1</v>
      </c>
      <c r="L113" s="18">
        <f>--AND(K113=1,F113&lt;&gt;"")</f>
        <v>1</v>
      </c>
      <c r="M113" s="18">
        <f>--AND(K113=1,L113=1,G113&gt;'Leia-me'!$C$11)</f>
        <v>0</v>
      </c>
      <c r="N113" s="18">
        <f>--AND(K113=1,F113="")</f>
        <v>0</v>
      </c>
      <c r="O113" s="18">
        <f>--AND(N113=1,G113&gt;'Leia-me'!$C$11)</f>
        <v>0</v>
      </c>
      <c r="P113" s="19">
        <f>IF(L113=1,G113,"")</f>
        <v>3.0</v>
      </c>
      <c r="Q113" s="11" t="s">
        <v>435</v>
      </c>
      <c r="R113" s="11"/>
    </row>
    <row r="114" spans="1:18" ht="32" customHeight="1">
      <c r="A114" s="9" t="s">
        <v>543</v>
      </c>
      <c r="B114" s="9" t="s">
        <v>309</v>
      </c>
      <c r="C114" s="9" t="s">
        <v>65</v>
      </c>
      <c r="D114" s="9" t="s">
        <v>100</v>
      </c>
      <c r="E114" s="6">
        <v>45718.375</v>
      </c>
      <c r="F114" s="6">
        <v>45719.375</v>
      </c>
      <c r="G114" s="14">
        <f>IF(E114="","",IF(F114="",'Leia-me'!$C$10-E114,F114-E114))</f>
        <v>1.0</v>
      </c>
      <c r="H114" s="20" t="str">
        <f>IF(F114="",IF(G114&gt;'Leia-me'!$C$11,"Aberto vencido","Aberto no prazo"),IF(G114&gt;'Leia-me'!$C$11,"Fora do prazo","Dentro do prazo"))</f>
        <v>Dentro do prazo</v>
      </c>
      <c r="I114" s="9" t="s">
        <v>310</v>
      </c>
      <c r="J114" s="9" t="s">
        <v>67</v>
      </c>
      <c r="K114" s="7">
        <f>--(Q114="valid")</f>
        <v>1</v>
      </c>
      <c r="L114" s="7">
        <f>--AND(K114=1,F114&lt;&gt;"")</f>
        <v>1</v>
      </c>
      <c r="M114" s="7">
        <f>--AND(K114=1,L114=1,G114&gt;'Leia-me'!$C$11)</f>
        <v>0</v>
      </c>
      <c r="N114" s="7">
        <f>--AND(K114=1,F114="")</f>
        <v>0</v>
      </c>
      <c r="O114" s="7">
        <f>--AND(N114=1,G114&gt;'Leia-me'!$C$11)</f>
        <v>0</v>
      </c>
      <c r="P114" s="16">
        <f>IF(L114=1,G114,"")</f>
        <v>1.0</v>
      </c>
      <c r="Q114" s="9" t="s">
        <v>435</v>
      </c>
      <c r="R114" s="9"/>
    </row>
    <row r="115" spans="1:18" ht="32" customHeight="1">
      <c r="A115" s="11" t="s">
        <v>544</v>
      </c>
      <c r="B115" s="11" t="s">
        <v>323</v>
      </c>
      <c r="C115" s="11" t="s">
        <v>60</v>
      </c>
      <c r="D115" s="11" t="s">
        <v>121</v>
      </c>
      <c r="E115" s="12">
        <v>45723.375</v>
      </c>
      <c r="F115" s="12">
        <v>45725.375</v>
      </c>
      <c r="G115" s="17">
        <f>IF(E115="","",IF(F115="",'Leia-me'!$C$10-E115,F115-E115))</f>
        <v>2.0</v>
      </c>
      <c r="H115" s="20" t="str">
        <f>IF(F115="",IF(G115&gt;'Leia-me'!$C$11,"Aberto vencido","Aberto no prazo"),IF(G115&gt;'Leia-me'!$C$11,"Fora do prazo","Dentro do prazo"))</f>
        <v>Dentro do prazo</v>
      </c>
      <c r="I115" s="11" t="s">
        <v>324</v>
      </c>
      <c r="J115" s="11" t="s">
        <v>62</v>
      </c>
      <c r="K115" s="18">
        <f>--(Q115="valid")</f>
        <v>1</v>
      </c>
      <c r="L115" s="18">
        <f>--AND(K115=1,F115&lt;&gt;"")</f>
        <v>1</v>
      </c>
      <c r="M115" s="18">
        <f>--AND(K115=1,L115=1,G115&gt;'Leia-me'!$C$11)</f>
        <v>0</v>
      </c>
      <c r="N115" s="18">
        <f>--AND(K115=1,F115="")</f>
        <v>0</v>
      </c>
      <c r="O115" s="18">
        <f>--AND(N115=1,G115&gt;'Leia-me'!$C$11)</f>
        <v>0</v>
      </c>
      <c r="P115" s="19">
        <f>IF(L115=1,G115,"")</f>
        <v>2.0</v>
      </c>
      <c r="Q115" s="11" t="s">
        <v>435</v>
      </c>
      <c r="R115" s="11"/>
    </row>
    <row r="116" spans="1:18" ht="32" customHeight="1">
      <c r="A116" s="9" t="s">
        <v>545</v>
      </c>
      <c r="B116" s="9" t="s">
        <v>337</v>
      </c>
      <c r="C116" s="9" t="s">
        <v>50</v>
      </c>
      <c r="D116" s="9" t="s">
        <v>49</v>
      </c>
      <c r="E116" s="6">
        <v>45728.375</v>
      </c>
      <c r="F116" s="6">
        <v>45731.375</v>
      </c>
      <c r="G116" s="14">
        <f>IF(E116="","",IF(F116="",'Leia-me'!$C$10-E116,F116-E116))</f>
        <v>3.0</v>
      </c>
      <c r="H116" s="20" t="str">
        <f>IF(F116="",IF(G116&gt;'Leia-me'!$C$11,"Aberto vencido","Aberto no prazo"),IF(G116&gt;'Leia-me'!$C$11,"Fora do prazo","Dentro do prazo"))</f>
        <v>Dentro do prazo</v>
      </c>
      <c r="I116" s="9" t="s">
        <v>338</v>
      </c>
      <c r="J116" s="9" t="s">
        <v>56</v>
      </c>
      <c r="K116" s="7">
        <f>--(Q116="valid")</f>
        <v>1</v>
      </c>
      <c r="L116" s="7">
        <f>--AND(K116=1,F116&lt;&gt;"")</f>
        <v>1</v>
      </c>
      <c r="M116" s="7">
        <f>--AND(K116=1,L116=1,G116&gt;'Leia-me'!$C$11)</f>
        <v>0</v>
      </c>
      <c r="N116" s="7">
        <f>--AND(K116=1,F116="")</f>
        <v>0</v>
      </c>
      <c r="O116" s="7">
        <f>--AND(N116=1,G116&gt;'Leia-me'!$C$11)</f>
        <v>0</v>
      </c>
      <c r="P116" s="16">
        <f>IF(L116=1,G116,"")</f>
        <v>3.0</v>
      </c>
      <c r="Q116" s="9" t="s">
        <v>435</v>
      </c>
      <c r="R116" s="9"/>
    </row>
    <row r="117" spans="1:18" ht="32" customHeight="1">
      <c r="A117" s="11" t="s">
        <v>546</v>
      </c>
      <c r="B117" s="11" t="s">
        <v>351</v>
      </c>
      <c r="C117" s="11" t="s">
        <v>90</v>
      </c>
      <c r="D117" s="11" t="s">
        <v>89</v>
      </c>
      <c r="E117" s="12">
        <v>45733.375</v>
      </c>
      <c r="F117" s="12">
        <v>45734.375</v>
      </c>
      <c r="G117" s="17">
        <f>IF(E117="","",IF(F117="",'Leia-me'!$C$10-E117,F117-E117))</f>
        <v>1.0</v>
      </c>
      <c r="H117" s="20" t="str">
        <f>IF(F117="",IF(G117&gt;'Leia-me'!$C$11,"Aberto vencido","Aberto no prazo"),IF(G117&gt;'Leia-me'!$C$11,"Fora do prazo","Dentro do prazo"))</f>
        <v>Dentro do prazo</v>
      </c>
      <c r="I117" s="11" t="s">
        <v>352</v>
      </c>
      <c r="J117" s="11" t="s">
        <v>92</v>
      </c>
      <c r="K117" s="18">
        <f>--(Q117="valid")</f>
        <v>1</v>
      </c>
      <c r="L117" s="18">
        <f>--AND(K117=1,F117&lt;&gt;"")</f>
        <v>1</v>
      </c>
      <c r="M117" s="18">
        <f>--AND(K117=1,L117=1,G117&gt;'Leia-me'!$C$11)</f>
        <v>0</v>
      </c>
      <c r="N117" s="18">
        <f>--AND(K117=1,F117="")</f>
        <v>0</v>
      </c>
      <c r="O117" s="18">
        <f>--AND(N117=1,G117&gt;'Leia-me'!$C$11)</f>
        <v>0</v>
      </c>
      <c r="P117" s="19">
        <f>IF(L117=1,G117,"")</f>
        <v>1.0</v>
      </c>
      <c r="Q117" s="11" t="s">
        <v>435</v>
      </c>
      <c r="R117" s="11"/>
    </row>
    <row r="118" spans="1:18" ht="32" customHeight="1">
      <c r="A118" s="9" t="s">
        <v>547</v>
      </c>
      <c r="B118" s="9" t="s">
        <v>73</v>
      </c>
      <c r="C118" s="9" t="s">
        <v>75</v>
      </c>
      <c r="D118" s="9" t="s">
        <v>74</v>
      </c>
      <c r="E118" s="6">
        <v>45718.375</v>
      </c>
      <c r="F118" s="6">
        <v>45720.375</v>
      </c>
      <c r="G118" s="14">
        <f>IF(E118="","",IF(F118="",'Leia-me'!$C$10-E118,F118-E118))</f>
        <v>2.0</v>
      </c>
      <c r="H118" s="20" t="str">
        <f>IF(F118="",IF(G118&gt;'Leia-me'!$C$11,"Aberto vencido","Aberto no prazo"),IF(G118&gt;'Leia-me'!$C$11,"Fora do prazo","Dentro do prazo"))</f>
        <v>Dentro do prazo</v>
      </c>
      <c r="I118" s="9" t="s">
        <v>76</v>
      </c>
      <c r="J118" s="9" t="s">
        <v>77</v>
      </c>
      <c r="K118" s="7">
        <f>--(Q118="valid")</f>
        <v>1</v>
      </c>
      <c r="L118" s="7">
        <f>--AND(K118=1,F118&lt;&gt;"")</f>
        <v>1</v>
      </c>
      <c r="M118" s="7">
        <f>--AND(K118=1,L118=1,G118&gt;'Leia-me'!$C$11)</f>
        <v>0</v>
      </c>
      <c r="N118" s="7">
        <f>--AND(K118=1,F118="")</f>
        <v>0</v>
      </c>
      <c r="O118" s="7">
        <f>--AND(N118=1,G118&gt;'Leia-me'!$C$11)</f>
        <v>0</v>
      </c>
      <c r="P118" s="16">
        <f>IF(L118=1,G118,"")</f>
        <v>2.0</v>
      </c>
      <c r="Q118" s="9" t="s">
        <v>435</v>
      </c>
      <c r="R118" s="9"/>
    </row>
    <row r="119" spans="1:18" ht="32" customHeight="1">
      <c r="A119" s="11" t="s">
        <v>548</v>
      </c>
      <c r="B119" s="11" t="s">
        <v>102</v>
      </c>
      <c r="C119" s="11" t="s">
        <v>70</v>
      </c>
      <c r="D119" s="11" t="s">
        <v>103</v>
      </c>
      <c r="E119" s="12">
        <v>45723.375</v>
      </c>
      <c r="F119" s="12">
        <v>45726.375</v>
      </c>
      <c r="G119" s="17">
        <f>IF(E119="","",IF(F119="",'Leia-me'!$C$10-E119,F119-E119))</f>
        <v>3.0</v>
      </c>
      <c r="H119" s="20" t="str">
        <f>IF(F119="",IF(G119&gt;'Leia-me'!$C$11,"Aberto vencido","Aberto no prazo"),IF(G119&gt;'Leia-me'!$C$11,"Fora do prazo","Dentro do prazo"))</f>
        <v>Dentro do prazo</v>
      </c>
      <c r="I119" s="11" t="s">
        <v>104</v>
      </c>
      <c r="J119" s="11" t="s">
        <v>72</v>
      </c>
      <c r="K119" s="18">
        <f>--(Q119="valid")</f>
        <v>1</v>
      </c>
      <c r="L119" s="18">
        <f>--AND(K119=1,F119&lt;&gt;"")</f>
        <v>1</v>
      </c>
      <c r="M119" s="18">
        <f>--AND(K119=1,L119=1,G119&gt;'Leia-me'!$C$11)</f>
        <v>0</v>
      </c>
      <c r="N119" s="18">
        <f>--AND(K119=1,F119="")</f>
        <v>0</v>
      </c>
      <c r="O119" s="18">
        <f>--AND(N119=1,G119&gt;'Leia-me'!$C$11)</f>
        <v>0</v>
      </c>
      <c r="P119" s="19">
        <f>IF(L119=1,G119,"")</f>
        <v>3.0</v>
      </c>
      <c r="Q119" s="11" t="s">
        <v>435</v>
      </c>
      <c r="R119" s="11"/>
    </row>
    <row r="120" spans="1:18" ht="32" customHeight="1">
      <c r="A120" s="9" t="s">
        <v>549</v>
      </c>
      <c r="B120" s="9" t="s">
        <v>123</v>
      </c>
      <c r="C120" s="9" t="s">
        <v>65</v>
      </c>
      <c r="D120" s="9" t="s">
        <v>124</v>
      </c>
      <c r="E120" s="6">
        <v>45728.375</v>
      </c>
      <c r="F120" s="6">
        <v>45729.375</v>
      </c>
      <c r="G120" s="14">
        <f>IF(E120="","",IF(F120="",'Leia-me'!$C$10-E120,F120-E120))</f>
        <v>1.0</v>
      </c>
      <c r="H120" s="20" t="str">
        <f>IF(F120="",IF(G120&gt;'Leia-me'!$C$11,"Aberto vencido","Aberto no prazo"),IF(G120&gt;'Leia-me'!$C$11,"Fora do prazo","Dentro do prazo"))</f>
        <v>Dentro do prazo</v>
      </c>
      <c r="I120" s="9" t="s">
        <v>125</v>
      </c>
      <c r="J120" s="9" t="s">
        <v>67</v>
      </c>
      <c r="K120" s="7">
        <f>--(Q120="valid")</f>
        <v>1</v>
      </c>
      <c r="L120" s="7">
        <f>--AND(K120=1,F120&lt;&gt;"")</f>
        <v>1</v>
      </c>
      <c r="M120" s="7">
        <f>--AND(K120=1,L120=1,G120&gt;'Leia-me'!$C$11)</f>
        <v>0</v>
      </c>
      <c r="N120" s="7">
        <f>--AND(K120=1,F120="")</f>
        <v>0</v>
      </c>
      <c r="O120" s="7">
        <f>--AND(N120=1,G120&gt;'Leia-me'!$C$11)</f>
        <v>0</v>
      </c>
      <c r="P120" s="16">
        <f>IF(L120=1,G120,"")</f>
        <v>1.0</v>
      </c>
      <c r="Q120" s="9" t="s">
        <v>435</v>
      </c>
      <c r="R120" s="9"/>
    </row>
    <row r="121" spans="1:18" ht="32" customHeight="1">
      <c r="A121" s="11" t="s">
        <v>550</v>
      </c>
      <c r="B121" s="11" t="s">
        <v>143</v>
      </c>
      <c r="C121" s="11" t="s">
        <v>60</v>
      </c>
      <c r="D121" s="11" t="s">
        <v>59</v>
      </c>
      <c r="E121" s="12">
        <v>45733.375</v>
      </c>
      <c r="F121" s="12">
        <v>45735.375</v>
      </c>
      <c r="G121" s="17">
        <f>IF(E121="","",IF(F121="",'Leia-me'!$C$10-E121,F121-E121))</f>
        <v>2.0</v>
      </c>
      <c r="H121" s="20" t="str">
        <f>IF(F121="",IF(G121&gt;'Leia-me'!$C$11,"Aberto vencido","Aberto no prazo"),IF(G121&gt;'Leia-me'!$C$11,"Fora do prazo","Dentro do prazo"))</f>
        <v>Dentro do prazo</v>
      </c>
      <c r="I121" s="11" t="s">
        <v>144</v>
      </c>
      <c r="J121" s="11" t="s">
        <v>62</v>
      </c>
      <c r="K121" s="18">
        <f>--(Q121="valid")</f>
        <v>1</v>
      </c>
      <c r="L121" s="18">
        <f>--AND(K121=1,F121&lt;&gt;"")</f>
        <v>1</v>
      </c>
      <c r="M121" s="18">
        <f>--AND(K121=1,L121=1,G121&gt;'Leia-me'!$C$11)</f>
        <v>0</v>
      </c>
      <c r="N121" s="18">
        <f>--AND(K121=1,F121="")</f>
        <v>0</v>
      </c>
      <c r="O121" s="18">
        <f>--AND(N121=1,G121&gt;'Leia-me'!$C$11)</f>
        <v>0</v>
      </c>
      <c r="P121" s="19">
        <f>IF(L121=1,G121,"")</f>
        <v>2.0</v>
      </c>
      <c r="Q121" s="11" t="s">
        <v>435</v>
      </c>
      <c r="R121" s="11"/>
    </row>
    <row r="122" spans="1:18" ht="32" customHeight="1">
      <c r="A122" s="9" t="s">
        <v>551</v>
      </c>
      <c r="B122" s="9" t="s">
        <v>157</v>
      </c>
      <c r="C122" s="9" t="s">
        <v>50</v>
      </c>
      <c r="D122" s="9" t="s">
        <v>94</v>
      </c>
      <c r="E122" s="6">
        <v>45718.375</v>
      </c>
      <c r="F122" s="6">
        <v>45721.375</v>
      </c>
      <c r="G122" s="14">
        <f>IF(E122="","",IF(F122="",'Leia-me'!$C$10-E122,F122-E122))</f>
        <v>3.0</v>
      </c>
      <c r="H122" s="20" t="str">
        <f>IF(F122="",IF(G122&gt;'Leia-me'!$C$11,"Aberto vencido","Aberto no prazo"),IF(G122&gt;'Leia-me'!$C$11,"Fora do prazo","Dentro do prazo"))</f>
        <v>Dentro do prazo</v>
      </c>
      <c r="I122" s="9" t="s">
        <v>158</v>
      </c>
      <c r="J122" s="9" t="s">
        <v>56</v>
      </c>
      <c r="K122" s="7">
        <f>--(Q122="valid")</f>
        <v>1</v>
      </c>
      <c r="L122" s="7">
        <f>--AND(K122=1,F122&lt;&gt;"")</f>
        <v>1</v>
      </c>
      <c r="M122" s="7">
        <f>--AND(K122=1,L122=1,G122&gt;'Leia-me'!$C$11)</f>
        <v>0</v>
      </c>
      <c r="N122" s="7">
        <f>--AND(K122=1,F122="")</f>
        <v>0</v>
      </c>
      <c r="O122" s="7">
        <f>--AND(N122=1,G122&gt;'Leia-me'!$C$11)</f>
        <v>0</v>
      </c>
      <c r="P122" s="16">
        <f>IF(L122=1,G122,"")</f>
        <v>3.0</v>
      </c>
      <c r="Q122" s="9" t="s">
        <v>435</v>
      </c>
      <c r="R122" s="9"/>
    </row>
    <row r="123" spans="1:18" ht="32" customHeight="1">
      <c r="A123" s="11" t="s">
        <v>552</v>
      </c>
      <c r="B123" s="11" t="s">
        <v>171</v>
      </c>
      <c r="C123" s="11" t="s">
        <v>90</v>
      </c>
      <c r="D123" s="11" t="s">
        <v>115</v>
      </c>
      <c r="E123" s="12">
        <v>45723.375</v>
      </c>
      <c r="F123" s="12">
        <v>45724.375</v>
      </c>
      <c r="G123" s="17">
        <f>IF(E123="","",IF(F123="",'Leia-me'!$C$10-E123,F123-E123))</f>
        <v>1.0</v>
      </c>
      <c r="H123" s="20" t="str">
        <f>IF(F123="",IF(G123&gt;'Leia-me'!$C$11,"Aberto vencido","Aberto no prazo"),IF(G123&gt;'Leia-me'!$C$11,"Fora do prazo","Dentro do prazo"))</f>
        <v>Dentro do prazo</v>
      </c>
      <c r="I123" s="11" t="s">
        <v>172</v>
      </c>
      <c r="J123" s="11" t="s">
        <v>92</v>
      </c>
      <c r="K123" s="18">
        <f>--(Q123="valid")</f>
        <v>1</v>
      </c>
      <c r="L123" s="18">
        <f>--AND(K123=1,F123&lt;&gt;"")</f>
        <v>1</v>
      </c>
      <c r="M123" s="18">
        <f>--AND(K123=1,L123=1,G123&gt;'Leia-me'!$C$11)</f>
        <v>0</v>
      </c>
      <c r="N123" s="18">
        <f>--AND(K123=1,F123="")</f>
        <v>0</v>
      </c>
      <c r="O123" s="18">
        <f>--AND(N123=1,G123&gt;'Leia-me'!$C$11)</f>
        <v>0</v>
      </c>
      <c r="P123" s="19">
        <f>IF(L123=1,G123,"")</f>
        <v>1.0</v>
      </c>
      <c r="Q123" s="11" t="s">
        <v>435</v>
      </c>
      <c r="R123" s="11"/>
    </row>
    <row r="124" spans="1:18" ht="32" customHeight="1">
      <c r="A124" s="9" t="s">
        <v>553</v>
      </c>
      <c r="B124" s="9" t="s">
        <v>187</v>
      </c>
      <c r="C124" s="9" t="s">
        <v>85</v>
      </c>
      <c r="D124" s="9" t="s">
        <v>136</v>
      </c>
      <c r="E124" s="6">
        <v>45728.375</v>
      </c>
      <c r="F124" s="6">
        <v>45730.375</v>
      </c>
      <c r="G124" s="14">
        <f>IF(E124="","",IF(F124="",'Leia-me'!$C$10-E124,F124-E124))</f>
        <v>2.0</v>
      </c>
      <c r="H124" s="20" t="str">
        <f>IF(F124="",IF(G124&gt;'Leia-me'!$C$11,"Aberto vencido","Aberto no prazo"),IF(G124&gt;'Leia-me'!$C$11,"Fora do prazo","Dentro do prazo"))</f>
        <v>Dentro do prazo</v>
      </c>
      <c r="I124" s="9" t="s">
        <v>188</v>
      </c>
      <c r="J124" s="9" t="s">
        <v>87</v>
      </c>
      <c r="K124" s="7">
        <f>--(Q124="valid")</f>
        <v>1</v>
      </c>
      <c r="L124" s="7">
        <f>--AND(K124=1,F124&lt;&gt;"")</f>
        <v>1</v>
      </c>
      <c r="M124" s="7">
        <f>--AND(K124=1,L124=1,G124&gt;'Leia-me'!$C$11)</f>
        <v>0</v>
      </c>
      <c r="N124" s="7">
        <f>--AND(K124=1,F124="")</f>
        <v>0</v>
      </c>
      <c r="O124" s="7">
        <f>--AND(N124=1,G124&gt;'Leia-me'!$C$11)</f>
        <v>0</v>
      </c>
      <c r="P124" s="16">
        <f>IF(L124=1,G124,"")</f>
        <v>2.0</v>
      </c>
      <c r="Q124" s="9" t="s">
        <v>435</v>
      </c>
      <c r="R124" s="9"/>
    </row>
    <row r="125" spans="1:18" ht="32" customHeight="1">
      <c r="A125" s="11" t="s">
        <v>554</v>
      </c>
      <c r="B125" s="11" t="s">
        <v>201</v>
      </c>
      <c r="C125" s="11" t="s">
        <v>80</v>
      </c>
      <c r="D125" s="11" t="s">
        <v>79</v>
      </c>
      <c r="E125" s="12">
        <v>45733.375</v>
      </c>
      <c r="F125" s="12">
        <v>45736.375</v>
      </c>
      <c r="G125" s="17">
        <f>IF(E125="","",IF(F125="",'Leia-me'!$C$10-E125,F125-E125))</f>
        <v>3.0</v>
      </c>
      <c r="H125" s="20" t="str">
        <f>IF(F125="",IF(G125&gt;'Leia-me'!$C$11,"Aberto vencido","Aberto no prazo"),IF(G125&gt;'Leia-me'!$C$11,"Fora do prazo","Dentro do prazo"))</f>
        <v>Dentro do prazo</v>
      </c>
      <c r="I125" s="11" t="s">
        <v>202</v>
      </c>
      <c r="J125" s="11" t="s">
        <v>82</v>
      </c>
      <c r="K125" s="18">
        <f>--(Q125="valid")</f>
        <v>1</v>
      </c>
      <c r="L125" s="18">
        <f>--AND(K125=1,F125&lt;&gt;"")</f>
        <v>1</v>
      </c>
      <c r="M125" s="18">
        <f>--AND(K125=1,L125=1,G125&gt;'Leia-me'!$C$11)</f>
        <v>0</v>
      </c>
      <c r="N125" s="18">
        <f>--AND(K125=1,F125="")</f>
        <v>0</v>
      </c>
      <c r="O125" s="18">
        <f>--AND(N125=1,G125&gt;'Leia-me'!$C$11)</f>
        <v>0</v>
      </c>
      <c r="P125" s="19">
        <f>IF(L125=1,G125,"")</f>
        <v>3.0</v>
      </c>
      <c r="Q125" s="11" t="s">
        <v>435</v>
      </c>
      <c r="R125" s="11"/>
    </row>
    <row r="126" spans="1:18" ht="32" customHeight="1">
      <c r="A126" s="9" t="s">
        <v>555</v>
      </c>
      <c r="B126" s="9" t="s">
        <v>215</v>
      </c>
      <c r="C126" s="9" t="s">
        <v>75</v>
      </c>
      <c r="D126" s="9" t="s">
        <v>106</v>
      </c>
      <c r="E126" s="6">
        <v>45718.375</v>
      </c>
      <c r="F126" s="6">
        <v>45719.375</v>
      </c>
      <c r="G126" s="14">
        <f>IF(E126="","",IF(F126="",'Leia-me'!$C$10-E126,F126-E126))</f>
        <v>1.0</v>
      </c>
      <c r="H126" s="20" t="str">
        <f>IF(F126="",IF(G126&gt;'Leia-me'!$C$11,"Aberto vencido","Aberto no prazo"),IF(G126&gt;'Leia-me'!$C$11,"Fora do prazo","Dentro do prazo"))</f>
        <v>Dentro do prazo</v>
      </c>
      <c r="I126" s="9" t="s">
        <v>216</v>
      </c>
      <c r="J126" s="9" t="s">
        <v>77</v>
      </c>
      <c r="K126" s="7">
        <f>--(Q126="valid")</f>
        <v>1</v>
      </c>
      <c r="L126" s="7">
        <f>--AND(K126=1,F126&lt;&gt;"")</f>
        <v>1</v>
      </c>
      <c r="M126" s="7">
        <f>--AND(K126=1,L126=1,G126&gt;'Leia-me'!$C$11)</f>
        <v>0</v>
      </c>
      <c r="N126" s="7">
        <f>--AND(K126=1,F126="")</f>
        <v>0</v>
      </c>
      <c r="O126" s="7">
        <f>--AND(N126=1,G126&gt;'Leia-me'!$C$11)</f>
        <v>0</v>
      </c>
      <c r="P126" s="16">
        <f>IF(L126=1,G126,"")</f>
        <v>1.0</v>
      </c>
      <c r="Q126" s="9" t="s">
        <v>435</v>
      </c>
      <c r="R126" s="9"/>
    </row>
    <row r="127" spans="1:18" ht="32" customHeight="1">
      <c r="A127" s="11" t="s">
        <v>556</v>
      </c>
      <c r="B127" s="11" t="s">
        <v>229</v>
      </c>
      <c r="C127" s="11" t="s">
        <v>70</v>
      </c>
      <c r="D127" s="11" t="s">
        <v>127</v>
      </c>
      <c r="E127" s="12">
        <v>45723.375</v>
      </c>
      <c r="F127" s="12">
        <v>45725.375</v>
      </c>
      <c r="G127" s="17">
        <f>IF(E127="","",IF(F127="",'Leia-me'!$C$10-E127,F127-E127))</f>
        <v>2.0</v>
      </c>
      <c r="H127" s="20" t="str">
        <f>IF(F127="",IF(G127&gt;'Leia-me'!$C$11,"Aberto vencido","Aberto no prazo"),IF(G127&gt;'Leia-me'!$C$11,"Fora do prazo","Dentro do prazo"))</f>
        <v>Dentro do prazo</v>
      </c>
      <c r="I127" s="11" t="s">
        <v>230</v>
      </c>
      <c r="J127" s="11" t="s">
        <v>72</v>
      </c>
      <c r="K127" s="18">
        <f>--(Q127="valid")</f>
        <v>1</v>
      </c>
      <c r="L127" s="18">
        <f>--AND(K127=1,F127&lt;&gt;"")</f>
        <v>1</v>
      </c>
      <c r="M127" s="18">
        <f>--AND(K127=1,L127=1,G127&gt;'Leia-me'!$C$11)</f>
        <v>0</v>
      </c>
      <c r="N127" s="18">
        <f>--AND(K127=1,F127="")</f>
        <v>0</v>
      </c>
      <c r="O127" s="18">
        <f>--AND(N127=1,G127&gt;'Leia-me'!$C$11)</f>
        <v>0</v>
      </c>
      <c r="P127" s="19">
        <f>IF(L127=1,G127,"")</f>
        <v>2.0</v>
      </c>
      <c r="Q127" s="11" t="s">
        <v>435</v>
      </c>
      <c r="R127" s="11"/>
    </row>
    <row r="128" spans="1:18" ht="32" customHeight="1">
      <c r="A128" s="9" t="s">
        <v>557</v>
      </c>
      <c r="B128" s="9" t="s">
        <v>243</v>
      </c>
      <c r="C128" s="9" t="s">
        <v>65</v>
      </c>
      <c r="D128" s="9" t="s">
        <v>64</v>
      </c>
      <c r="E128" s="6">
        <v>45728.375</v>
      </c>
      <c r="F128" s="6">
        <v>45731.375</v>
      </c>
      <c r="G128" s="14">
        <f>IF(E128="","",IF(F128="",'Leia-me'!$C$10-E128,F128-E128))</f>
        <v>3.0</v>
      </c>
      <c r="H128" s="20" t="str">
        <f>IF(F128="",IF(G128&gt;'Leia-me'!$C$11,"Aberto vencido","Aberto no prazo"),IF(G128&gt;'Leia-me'!$C$11,"Fora do prazo","Dentro do prazo"))</f>
        <v>Dentro do prazo</v>
      </c>
      <c r="I128" s="9" t="s">
        <v>244</v>
      </c>
      <c r="J128" s="9" t="s">
        <v>67</v>
      </c>
      <c r="K128" s="7">
        <f>--(Q128="valid")</f>
        <v>1</v>
      </c>
      <c r="L128" s="7">
        <f>--AND(K128=1,F128&lt;&gt;"")</f>
        <v>1</v>
      </c>
      <c r="M128" s="7">
        <f>--AND(K128=1,L128=1,G128&gt;'Leia-me'!$C$11)</f>
        <v>0</v>
      </c>
      <c r="N128" s="7">
        <f>--AND(K128=1,F128="")</f>
        <v>0</v>
      </c>
      <c r="O128" s="7">
        <f>--AND(N128=1,G128&gt;'Leia-me'!$C$11)</f>
        <v>0</v>
      </c>
      <c r="P128" s="16">
        <f>IF(L128=1,G128,"")</f>
        <v>3.0</v>
      </c>
      <c r="Q128" s="9" t="s">
        <v>435</v>
      </c>
      <c r="R128" s="9"/>
    </row>
    <row r="129" spans="1:18" ht="32" customHeight="1">
      <c r="A129" s="11" t="s">
        <v>558</v>
      </c>
      <c r="B129" s="11" t="s">
        <v>257</v>
      </c>
      <c r="C129" s="11" t="s">
        <v>60</v>
      </c>
      <c r="D129" s="11" t="s">
        <v>97</v>
      </c>
      <c r="E129" s="12">
        <v>45733.375</v>
      </c>
      <c r="F129" s="12">
        <v>45734.375</v>
      </c>
      <c r="G129" s="17">
        <f>IF(E129="","",IF(F129="",'Leia-me'!$C$10-E129,F129-E129))</f>
        <v>1.0</v>
      </c>
      <c r="H129" s="20" t="str">
        <f>IF(F129="",IF(G129&gt;'Leia-me'!$C$11,"Aberto vencido","Aberto no prazo"),IF(G129&gt;'Leia-me'!$C$11,"Fora do prazo","Dentro do prazo"))</f>
        <v>Dentro do prazo</v>
      </c>
      <c r="I129" s="11" t="s">
        <v>258</v>
      </c>
      <c r="J129" s="11" t="s">
        <v>62</v>
      </c>
      <c r="K129" s="18">
        <f>--(Q129="valid")</f>
        <v>1</v>
      </c>
      <c r="L129" s="18">
        <f>--AND(K129=1,F129&lt;&gt;"")</f>
        <v>1</v>
      </c>
      <c r="M129" s="18">
        <f>--AND(K129=1,L129=1,G129&gt;'Leia-me'!$C$11)</f>
        <v>0</v>
      </c>
      <c r="N129" s="18">
        <f>--AND(K129=1,F129="")</f>
        <v>0</v>
      </c>
      <c r="O129" s="18">
        <f>--AND(N129=1,G129&gt;'Leia-me'!$C$11)</f>
        <v>0</v>
      </c>
      <c r="P129" s="19">
        <f>IF(L129=1,G129,"")</f>
        <v>1.0</v>
      </c>
      <c r="Q129" s="11" t="s">
        <v>435</v>
      </c>
      <c r="R129" s="11"/>
    </row>
    <row r="130" spans="1:18" ht="32" customHeight="1">
      <c r="A130" s="9" t="s">
        <v>559</v>
      </c>
      <c r="B130" s="9" t="s">
        <v>273</v>
      </c>
      <c r="C130" s="9" t="s">
        <v>50</v>
      </c>
      <c r="D130" s="9" t="s">
        <v>118</v>
      </c>
      <c r="E130" s="6">
        <v>45718.375</v>
      </c>
      <c r="F130" s="6">
        <v>45720.375</v>
      </c>
      <c r="G130" s="14">
        <f>IF(E130="","",IF(F130="",'Leia-me'!$C$10-E130,F130-E130))</f>
        <v>2.0</v>
      </c>
      <c r="H130" s="20" t="str">
        <f>IF(F130="",IF(G130&gt;'Leia-me'!$C$11,"Aberto vencido","Aberto no prazo"),IF(G130&gt;'Leia-me'!$C$11,"Fora do prazo","Dentro do prazo"))</f>
        <v>Dentro do prazo</v>
      </c>
      <c r="I130" s="9" t="s">
        <v>274</v>
      </c>
      <c r="J130" s="9" t="s">
        <v>56</v>
      </c>
      <c r="K130" s="7">
        <f>--(Q130="valid")</f>
        <v>1</v>
      </c>
      <c r="L130" s="7">
        <f>--AND(K130=1,F130&lt;&gt;"")</f>
        <v>1</v>
      </c>
      <c r="M130" s="7">
        <f>--AND(K130=1,L130=1,G130&gt;'Leia-me'!$C$11)</f>
        <v>0</v>
      </c>
      <c r="N130" s="7">
        <f>--AND(K130=1,F130="")</f>
        <v>0</v>
      </c>
      <c r="O130" s="7">
        <f>--AND(N130=1,G130&gt;'Leia-me'!$C$11)</f>
        <v>0</v>
      </c>
      <c r="P130" s="16">
        <f>IF(L130=1,G130,"")</f>
        <v>2.0</v>
      </c>
      <c r="Q130" s="9" t="s">
        <v>435</v>
      </c>
      <c r="R130" s="9"/>
    </row>
    <row r="131" spans="1:18" ht="32" customHeight="1">
      <c r="A131" s="11" t="s">
        <v>560</v>
      </c>
      <c r="B131" s="11" t="s">
        <v>287</v>
      </c>
      <c r="C131" s="11" t="s">
        <v>90</v>
      </c>
      <c r="D131" s="11" t="s">
        <v>139</v>
      </c>
      <c r="E131" s="12">
        <v>45723.375</v>
      </c>
      <c r="F131" s="12">
        <v>45726.375</v>
      </c>
      <c r="G131" s="17">
        <f>IF(E131="","",IF(F131="",'Leia-me'!$C$10-E131,F131-E131))</f>
        <v>3.0</v>
      </c>
      <c r="H131" s="20" t="str">
        <f>IF(F131="",IF(G131&gt;'Leia-me'!$C$11,"Aberto vencido","Aberto no prazo"),IF(G131&gt;'Leia-me'!$C$11,"Fora do prazo","Dentro do prazo"))</f>
        <v>Dentro do prazo</v>
      </c>
      <c r="I131" s="11" t="s">
        <v>288</v>
      </c>
      <c r="J131" s="11" t="s">
        <v>92</v>
      </c>
      <c r="K131" s="18">
        <f>--(Q131="valid")</f>
        <v>1</v>
      </c>
      <c r="L131" s="18">
        <f>--AND(K131=1,F131&lt;&gt;"")</f>
        <v>1</v>
      </c>
      <c r="M131" s="18">
        <f>--AND(K131=1,L131=1,G131&gt;'Leia-me'!$C$11)</f>
        <v>0</v>
      </c>
      <c r="N131" s="18">
        <f>--AND(K131=1,F131="")</f>
        <v>0</v>
      </c>
      <c r="O131" s="18">
        <f>--AND(N131=1,G131&gt;'Leia-me'!$C$11)</f>
        <v>0</v>
      </c>
      <c r="P131" s="19">
        <f>IF(L131=1,G131,"")</f>
        <v>3.0</v>
      </c>
      <c r="Q131" s="11" t="s">
        <v>435</v>
      </c>
      <c r="R131" s="11"/>
    </row>
    <row r="132" spans="1:18" ht="32" customHeight="1">
      <c r="A132" s="9" t="s">
        <v>561</v>
      </c>
      <c r="B132" s="9" t="s">
        <v>301</v>
      </c>
      <c r="C132" s="9" t="s">
        <v>85</v>
      </c>
      <c r="D132" s="9" t="s">
        <v>84</v>
      </c>
      <c r="E132" s="6">
        <v>45728.375</v>
      </c>
      <c r="F132" s="6">
        <v>45729.375</v>
      </c>
      <c r="G132" s="14">
        <f>IF(E132="","",IF(F132="",'Leia-me'!$C$10-E132,F132-E132))</f>
        <v>1.0</v>
      </c>
      <c r="H132" s="20" t="str">
        <f>IF(F132="",IF(G132&gt;'Leia-me'!$C$11,"Aberto vencido","Aberto no prazo"),IF(G132&gt;'Leia-me'!$C$11,"Fora do prazo","Dentro do prazo"))</f>
        <v>Dentro do prazo</v>
      </c>
      <c r="I132" s="9" t="s">
        <v>302</v>
      </c>
      <c r="J132" s="9" t="s">
        <v>87</v>
      </c>
      <c r="K132" s="7">
        <f>--(Q132="valid")</f>
        <v>1</v>
      </c>
      <c r="L132" s="7">
        <f>--AND(K132=1,F132&lt;&gt;"")</f>
        <v>1</v>
      </c>
      <c r="M132" s="7">
        <f>--AND(K132=1,L132=1,G132&gt;'Leia-me'!$C$11)</f>
        <v>0</v>
      </c>
      <c r="N132" s="7">
        <f>--AND(K132=1,F132="")</f>
        <v>0</v>
      </c>
      <c r="O132" s="7">
        <f>--AND(N132=1,G132&gt;'Leia-me'!$C$11)</f>
        <v>0</v>
      </c>
      <c r="P132" s="16">
        <f>IF(L132=1,G132,"")</f>
        <v>1.0</v>
      </c>
      <c r="Q132" s="9" t="s">
        <v>435</v>
      </c>
      <c r="R132" s="9"/>
    </row>
    <row r="133" spans="1:18" ht="32" customHeight="1">
      <c r="A133" s="11" t="s">
        <v>562</v>
      </c>
      <c r="B133" s="11" t="s">
        <v>315</v>
      </c>
      <c r="C133" s="11" t="s">
        <v>80</v>
      </c>
      <c r="D133" s="11" t="s">
        <v>109</v>
      </c>
      <c r="E133" s="12">
        <v>45733.375</v>
      </c>
      <c r="F133" s="12">
        <v>45735.375</v>
      </c>
      <c r="G133" s="17">
        <f>IF(E133="","",IF(F133="",'Leia-me'!$C$10-E133,F133-E133))</f>
        <v>2.0</v>
      </c>
      <c r="H133" s="20" t="str">
        <f>IF(F133="",IF(G133&gt;'Leia-me'!$C$11,"Aberto vencido","Aberto no prazo"),IF(G133&gt;'Leia-me'!$C$11,"Fora do prazo","Dentro do prazo"))</f>
        <v>Dentro do prazo</v>
      </c>
      <c r="I133" s="11" t="s">
        <v>316</v>
      </c>
      <c r="J133" s="11" t="s">
        <v>82</v>
      </c>
      <c r="K133" s="18">
        <f>--(Q133="valid")</f>
        <v>1</v>
      </c>
      <c r="L133" s="18">
        <f>--AND(K133=1,F133&lt;&gt;"")</f>
        <v>1</v>
      </c>
      <c r="M133" s="18">
        <f>--AND(K133=1,L133=1,G133&gt;'Leia-me'!$C$11)</f>
        <v>0</v>
      </c>
      <c r="N133" s="18">
        <f>--AND(K133=1,F133="")</f>
        <v>0</v>
      </c>
      <c r="O133" s="18">
        <f>--AND(N133=1,G133&gt;'Leia-me'!$C$11)</f>
        <v>0</v>
      </c>
      <c r="P133" s="19">
        <f>IF(L133=1,G133,"")</f>
        <v>2.0</v>
      </c>
      <c r="Q133" s="11" t="s">
        <v>435</v>
      </c>
      <c r="R133" s="11"/>
    </row>
    <row r="134" spans="1:18" ht="32" customHeight="1">
      <c r="A134" s="9" t="s">
        <v>563</v>
      </c>
      <c r="B134" s="9" t="s">
        <v>329</v>
      </c>
      <c r="C134" s="9" t="s">
        <v>75</v>
      </c>
      <c r="D134" s="9" t="s">
        <v>130</v>
      </c>
      <c r="E134" s="6">
        <v>45718.375</v>
      </c>
      <c r="F134" s="6">
        <v>45721.375</v>
      </c>
      <c r="G134" s="14">
        <f>IF(E134="","",IF(F134="",'Leia-me'!$C$10-E134,F134-E134))</f>
        <v>3.0</v>
      </c>
      <c r="H134" s="20" t="str">
        <f>IF(F134="",IF(G134&gt;'Leia-me'!$C$11,"Aberto vencido","Aberto no prazo"),IF(G134&gt;'Leia-me'!$C$11,"Fora do prazo","Dentro do prazo"))</f>
        <v>Dentro do prazo</v>
      </c>
      <c r="I134" s="9" t="s">
        <v>330</v>
      </c>
      <c r="J134" s="9" t="s">
        <v>77</v>
      </c>
      <c r="K134" s="7">
        <f>--(Q134="valid")</f>
        <v>1</v>
      </c>
      <c r="L134" s="7">
        <f>--AND(K134=1,F134&lt;&gt;"")</f>
        <v>1</v>
      </c>
      <c r="M134" s="7">
        <f>--AND(K134=1,L134=1,G134&gt;'Leia-me'!$C$11)</f>
        <v>0</v>
      </c>
      <c r="N134" s="7">
        <f>--AND(K134=1,F134="")</f>
        <v>0</v>
      </c>
      <c r="O134" s="7">
        <f>--AND(N134=1,G134&gt;'Leia-me'!$C$11)</f>
        <v>0</v>
      </c>
      <c r="P134" s="16">
        <f>IF(L134=1,G134,"")</f>
        <v>3.0</v>
      </c>
      <c r="Q134" s="9" t="s">
        <v>435</v>
      </c>
      <c r="R134" s="9"/>
    </row>
    <row r="135" spans="1:18" ht="32" customHeight="1">
      <c r="A135" s="11" t="s">
        <v>564</v>
      </c>
      <c r="B135" s="11" t="s">
        <v>343</v>
      </c>
      <c r="C135" s="11" t="s">
        <v>70</v>
      </c>
      <c r="D135" s="11" t="s">
        <v>69</v>
      </c>
      <c r="E135" s="12">
        <v>45723.375</v>
      </c>
      <c r="F135" s="12">
        <v>45724.375</v>
      </c>
      <c r="G135" s="17">
        <f>IF(E135="","",IF(F135="",'Leia-me'!$C$10-E135,F135-E135))</f>
        <v>1.0</v>
      </c>
      <c r="H135" s="20" t="str">
        <f>IF(F135="",IF(G135&gt;'Leia-me'!$C$11,"Aberto vencido","Aberto no prazo"),IF(G135&gt;'Leia-me'!$C$11,"Fora do prazo","Dentro do prazo"))</f>
        <v>Dentro do prazo</v>
      </c>
      <c r="I135" s="11" t="s">
        <v>344</v>
      </c>
      <c r="J135" s="11" t="s">
        <v>72</v>
      </c>
      <c r="K135" s="18">
        <f>--(Q135="valid")</f>
        <v>1</v>
      </c>
      <c r="L135" s="18">
        <f>--AND(K135=1,F135&lt;&gt;"")</f>
        <v>1</v>
      </c>
      <c r="M135" s="18">
        <f>--AND(K135=1,L135=1,G135&gt;'Leia-me'!$C$11)</f>
        <v>0</v>
      </c>
      <c r="N135" s="18">
        <f>--AND(K135=1,F135="")</f>
        <v>0</v>
      </c>
      <c r="O135" s="18">
        <f>--AND(N135=1,G135&gt;'Leia-me'!$C$11)</f>
        <v>0</v>
      </c>
      <c r="P135" s="19">
        <f>IF(L135=1,G135,"")</f>
        <v>1.0</v>
      </c>
      <c r="Q135" s="11" t="s">
        <v>435</v>
      </c>
      <c r="R135" s="11"/>
    </row>
    <row r="136" spans="1:18" ht="32" customHeight="1">
      <c r="A136" s="9" t="s">
        <v>565</v>
      </c>
      <c r="B136" s="9" t="s">
        <v>48</v>
      </c>
      <c r="C136" s="9" t="s">
        <v>50</v>
      </c>
      <c r="D136" s="9" t="s">
        <v>49</v>
      </c>
      <c r="E136" s="6">
        <v>45728.375</v>
      </c>
      <c r="F136" s="6">
        <v>45730.375</v>
      </c>
      <c r="G136" s="14">
        <f>IF(E136="","",IF(F136="",'Leia-me'!$C$10-E136,F136-E136))</f>
        <v>2.0</v>
      </c>
      <c r="H136" s="20" t="str">
        <f>IF(F136="",IF(G136&gt;'Leia-me'!$C$11,"Aberto vencido","Aberto no prazo"),IF(G136&gt;'Leia-me'!$C$11,"Fora do prazo","Dentro do prazo"))</f>
        <v>Dentro do prazo</v>
      </c>
      <c r="I136" s="9" t="s">
        <v>53</v>
      </c>
      <c r="J136" s="9" t="s">
        <v>56</v>
      </c>
      <c r="K136" s="7">
        <f>--(Q136="valid")</f>
        <v>1</v>
      </c>
      <c r="L136" s="7">
        <f>--AND(K136=1,F136&lt;&gt;"")</f>
        <v>1</v>
      </c>
      <c r="M136" s="7">
        <f>--AND(K136=1,L136=1,G136&gt;'Leia-me'!$C$11)</f>
        <v>0</v>
      </c>
      <c r="N136" s="7">
        <f>--AND(K136=1,F136="")</f>
        <v>0</v>
      </c>
      <c r="O136" s="7">
        <f>--AND(N136=1,G136&gt;'Leia-me'!$C$11)</f>
        <v>0</v>
      </c>
      <c r="P136" s="16">
        <f>IF(L136=1,G136,"")</f>
        <v>2.0</v>
      </c>
      <c r="Q136" s="9" t="s">
        <v>435</v>
      </c>
      <c r="R136" s="9"/>
    </row>
    <row r="137" spans="1:18" ht="32" customHeight="1">
      <c r="A137" s="11" t="s">
        <v>566</v>
      </c>
      <c r="B137" s="11" t="s">
        <v>88</v>
      </c>
      <c r="C137" s="11" t="s">
        <v>90</v>
      </c>
      <c r="D137" s="11" t="s">
        <v>89</v>
      </c>
      <c r="E137" s="12">
        <v>45733.375</v>
      </c>
      <c r="F137" s="12">
        <v>45736.375</v>
      </c>
      <c r="G137" s="17">
        <f>IF(E137="","",IF(F137="",'Leia-me'!$C$10-E137,F137-E137))</f>
        <v>3.0</v>
      </c>
      <c r="H137" s="20" t="str">
        <f>IF(F137="",IF(G137&gt;'Leia-me'!$C$11,"Aberto vencido","Aberto no prazo"),IF(G137&gt;'Leia-me'!$C$11,"Fora do prazo","Dentro do prazo"))</f>
        <v>Dentro do prazo</v>
      </c>
      <c r="I137" s="11" t="s">
        <v>91</v>
      </c>
      <c r="J137" s="11" t="s">
        <v>92</v>
      </c>
      <c r="K137" s="18">
        <f>--(Q137="valid")</f>
        <v>1</v>
      </c>
      <c r="L137" s="18">
        <f>--AND(K137=1,F137&lt;&gt;"")</f>
        <v>1</v>
      </c>
      <c r="M137" s="18">
        <f>--AND(K137=1,L137=1,G137&gt;'Leia-me'!$C$11)</f>
        <v>0</v>
      </c>
      <c r="N137" s="18">
        <f>--AND(K137=1,F137="")</f>
        <v>0</v>
      </c>
      <c r="O137" s="18">
        <f>--AND(N137=1,G137&gt;'Leia-me'!$C$11)</f>
        <v>0</v>
      </c>
      <c r="P137" s="19">
        <f>IF(L137=1,G137,"")</f>
        <v>3.0</v>
      </c>
      <c r="Q137" s="11" t="s">
        <v>435</v>
      </c>
      <c r="R137" s="11"/>
    </row>
    <row r="138" spans="1:18" ht="32" customHeight="1">
      <c r="A138" s="9" t="s">
        <v>567</v>
      </c>
      <c r="B138" s="9" t="s">
        <v>111</v>
      </c>
      <c r="C138" s="9" t="s">
        <v>85</v>
      </c>
      <c r="D138" s="9" t="s">
        <v>112</v>
      </c>
      <c r="E138" s="6">
        <v>45718.375</v>
      </c>
      <c r="F138" s="6">
        <v>45719.375</v>
      </c>
      <c r="G138" s="14">
        <f>IF(E138="","",IF(F138="",'Leia-me'!$C$10-E138,F138-E138))</f>
        <v>1.0</v>
      </c>
      <c r="H138" s="20" t="str">
        <f>IF(F138="",IF(G138&gt;'Leia-me'!$C$11,"Aberto vencido","Aberto no prazo"),IF(G138&gt;'Leia-me'!$C$11,"Fora do prazo","Dentro do prazo"))</f>
        <v>Dentro do prazo</v>
      </c>
      <c r="I138" s="9" t="s">
        <v>113</v>
      </c>
      <c r="J138" s="9" t="s">
        <v>87</v>
      </c>
      <c r="K138" s="7">
        <f>--(Q138="valid")</f>
        <v>1</v>
      </c>
      <c r="L138" s="7">
        <f>--AND(K138=1,F138&lt;&gt;"")</f>
        <v>1</v>
      </c>
      <c r="M138" s="7">
        <f>--AND(K138=1,L138=1,G138&gt;'Leia-me'!$C$11)</f>
        <v>0</v>
      </c>
      <c r="N138" s="7">
        <f>--AND(K138=1,F138="")</f>
        <v>0</v>
      </c>
      <c r="O138" s="7">
        <f>--AND(N138=1,G138&gt;'Leia-me'!$C$11)</f>
        <v>0</v>
      </c>
      <c r="P138" s="16">
        <f>IF(L138=1,G138,"")</f>
        <v>1.0</v>
      </c>
      <c r="Q138" s="9" t="s">
        <v>435</v>
      </c>
      <c r="R138" s="9"/>
    </row>
    <row r="139" spans="1:18" ht="32" customHeight="1">
      <c r="A139" s="11" t="s">
        <v>568</v>
      </c>
      <c r="B139" s="11" t="s">
        <v>132</v>
      </c>
      <c r="C139" s="11" t="s">
        <v>80</v>
      </c>
      <c r="D139" s="11" t="s">
        <v>133</v>
      </c>
      <c r="E139" s="12">
        <v>45723.375</v>
      </c>
      <c r="F139" s="12">
        <v>45725.375</v>
      </c>
      <c r="G139" s="17">
        <f>IF(E139="","",IF(F139="",'Leia-me'!$C$10-E139,F139-E139))</f>
        <v>2.0</v>
      </c>
      <c r="H139" s="20" t="str">
        <f>IF(F139="",IF(G139&gt;'Leia-me'!$C$11,"Aberto vencido","Aberto no prazo"),IF(G139&gt;'Leia-me'!$C$11,"Fora do prazo","Dentro do prazo"))</f>
        <v>Dentro do prazo</v>
      </c>
      <c r="I139" s="11" t="s">
        <v>134</v>
      </c>
      <c r="J139" s="11" t="s">
        <v>82</v>
      </c>
      <c r="K139" s="18">
        <f>--(Q139="valid")</f>
        <v>1</v>
      </c>
      <c r="L139" s="18">
        <f>--AND(K139=1,F139&lt;&gt;"")</f>
        <v>1</v>
      </c>
      <c r="M139" s="18">
        <f>--AND(K139=1,L139=1,G139&gt;'Leia-me'!$C$11)</f>
        <v>0</v>
      </c>
      <c r="N139" s="18">
        <f>--AND(K139=1,F139="")</f>
        <v>0</v>
      </c>
      <c r="O139" s="18">
        <f>--AND(N139=1,G139&gt;'Leia-me'!$C$11)</f>
        <v>0</v>
      </c>
      <c r="P139" s="19">
        <f>IF(L139=1,G139,"")</f>
        <v>2.0</v>
      </c>
      <c r="Q139" s="11" t="s">
        <v>435</v>
      </c>
      <c r="R139" s="11"/>
    </row>
    <row r="140" spans="1:18" ht="32" customHeight="1">
      <c r="A140" s="9" t="s">
        <v>569</v>
      </c>
      <c r="B140" s="9" t="s">
        <v>149</v>
      </c>
      <c r="C140" s="9" t="s">
        <v>75</v>
      </c>
      <c r="D140" s="9" t="s">
        <v>74</v>
      </c>
      <c r="E140" s="6">
        <v>45728.375</v>
      </c>
      <c r="F140" s="6">
        <v>45731.375</v>
      </c>
      <c r="G140" s="14">
        <f>IF(E140="","",IF(F140="",'Leia-me'!$C$10-E140,F140-E140))</f>
        <v>3.0</v>
      </c>
      <c r="H140" s="20" t="str">
        <f>IF(F140="",IF(G140&gt;'Leia-me'!$C$11,"Aberto vencido","Aberto no prazo"),IF(G140&gt;'Leia-me'!$C$11,"Fora do prazo","Dentro do prazo"))</f>
        <v>Dentro do prazo</v>
      </c>
      <c r="I140" s="9" t="s">
        <v>150</v>
      </c>
      <c r="J140" s="9" t="s">
        <v>77</v>
      </c>
      <c r="K140" s="7">
        <f>--(Q140="valid")</f>
        <v>1</v>
      </c>
      <c r="L140" s="7">
        <f>--AND(K140=1,F140&lt;&gt;"")</f>
        <v>1</v>
      </c>
      <c r="M140" s="7">
        <f>--AND(K140=1,L140=1,G140&gt;'Leia-me'!$C$11)</f>
        <v>0</v>
      </c>
      <c r="N140" s="7">
        <f>--AND(K140=1,F140="")</f>
        <v>0</v>
      </c>
      <c r="O140" s="7">
        <f>--AND(N140=1,G140&gt;'Leia-me'!$C$11)</f>
        <v>0</v>
      </c>
      <c r="P140" s="16">
        <f>IF(L140=1,G140,"")</f>
        <v>3.0</v>
      </c>
      <c r="Q140" s="9" t="s">
        <v>435</v>
      </c>
      <c r="R140" s="9"/>
    </row>
    <row r="141" spans="1:18" ht="32" customHeight="1">
      <c r="A141" s="11" t="s">
        <v>570</v>
      </c>
      <c r="B141" s="11" t="s">
        <v>163</v>
      </c>
      <c r="C141" s="11" t="s">
        <v>70</v>
      </c>
      <c r="D141" s="11" t="s">
        <v>103</v>
      </c>
      <c r="E141" s="12">
        <v>45733.375</v>
      </c>
      <c r="F141" s="12">
        <v>45734.375</v>
      </c>
      <c r="G141" s="17">
        <f>IF(E141="","",IF(F141="",'Leia-me'!$C$10-E141,F141-E141))</f>
        <v>1.0</v>
      </c>
      <c r="H141" s="20" t="str">
        <f>IF(F141="",IF(G141&gt;'Leia-me'!$C$11,"Aberto vencido","Aberto no prazo"),IF(G141&gt;'Leia-me'!$C$11,"Fora do prazo","Dentro do prazo"))</f>
        <v>Dentro do prazo</v>
      </c>
      <c r="I141" s="11" t="s">
        <v>164</v>
      </c>
      <c r="J141" s="11" t="s">
        <v>72</v>
      </c>
      <c r="K141" s="18">
        <f>--(Q141="valid")</f>
        <v>1</v>
      </c>
      <c r="L141" s="18">
        <f>--AND(K141=1,F141&lt;&gt;"")</f>
        <v>1</v>
      </c>
      <c r="M141" s="18">
        <f>--AND(K141=1,L141=1,G141&gt;'Leia-me'!$C$11)</f>
        <v>0</v>
      </c>
      <c r="N141" s="18">
        <f>--AND(K141=1,F141="")</f>
        <v>0</v>
      </c>
      <c r="O141" s="18">
        <f>--AND(N141=1,G141&gt;'Leia-me'!$C$11)</f>
        <v>0</v>
      </c>
      <c r="P141" s="19">
        <f>IF(L141=1,G141,"")</f>
        <v>1.0</v>
      </c>
      <c r="Q141" s="11" t="s">
        <v>435</v>
      </c>
      <c r="R141" s="11"/>
    </row>
    <row r="142" spans="1:18" ht="32" customHeight="1">
      <c r="A142" s="9" t="s">
        <v>571</v>
      </c>
      <c r="B142" s="9" t="s">
        <v>177</v>
      </c>
      <c r="C142" s="9" t="s">
        <v>65</v>
      </c>
      <c r="D142" s="9" t="s">
        <v>124</v>
      </c>
      <c r="E142" s="6">
        <v>45718.375</v>
      </c>
      <c r="F142" s="6">
        <v>45720.375</v>
      </c>
      <c r="G142" s="14">
        <f>IF(E142="","",IF(F142="",'Leia-me'!$C$10-E142,F142-E142))</f>
        <v>2.0</v>
      </c>
      <c r="H142" s="20" t="str">
        <f>IF(F142="",IF(G142&gt;'Leia-me'!$C$11,"Aberto vencido","Aberto no prazo"),IF(G142&gt;'Leia-me'!$C$11,"Fora do prazo","Dentro do prazo"))</f>
        <v>Dentro do prazo</v>
      </c>
      <c r="I142" s="9" t="s">
        <v>178</v>
      </c>
      <c r="J142" s="9" t="s">
        <v>67</v>
      </c>
      <c r="K142" s="7">
        <f>--(Q142="valid")</f>
        <v>1</v>
      </c>
      <c r="L142" s="7">
        <f>--AND(K142=1,F142&lt;&gt;"")</f>
        <v>1</v>
      </c>
      <c r="M142" s="7">
        <f>--AND(K142=1,L142=1,G142&gt;'Leia-me'!$C$11)</f>
        <v>0</v>
      </c>
      <c r="N142" s="7">
        <f>--AND(K142=1,F142="")</f>
        <v>0</v>
      </c>
      <c r="O142" s="7">
        <f>--AND(N142=1,G142&gt;'Leia-me'!$C$11)</f>
        <v>0</v>
      </c>
      <c r="P142" s="16">
        <f>IF(L142=1,G142,"")</f>
        <v>2.0</v>
      </c>
      <c r="Q142" s="9" t="s">
        <v>435</v>
      </c>
      <c r="R142" s="9"/>
    </row>
    <row r="143" spans="1:18" ht="32" customHeight="1">
      <c r="A143" s="11" t="s">
        <v>572</v>
      </c>
      <c r="B143" s="11" t="s">
        <v>193</v>
      </c>
      <c r="C143" s="11" t="s">
        <v>60</v>
      </c>
      <c r="D143" s="11" t="s">
        <v>59</v>
      </c>
      <c r="E143" s="12">
        <v>45723.375</v>
      </c>
      <c r="F143" s="12">
        <v>45726.375</v>
      </c>
      <c r="G143" s="17">
        <f>IF(E143="","",IF(F143="",'Leia-me'!$C$10-E143,F143-E143))</f>
        <v>3.0</v>
      </c>
      <c r="H143" s="20" t="str">
        <f>IF(F143="",IF(G143&gt;'Leia-me'!$C$11,"Aberto vencido","Aberto no prazo"),IF(G143&gt;'Leia-me'!$C$11,"Fora do prazo","Dentro do prazo"))</f>
        <v>Dentro do prazo</v>
      </c>
      <c r="I143" s="11" t="s">
        <v>194</v>
      </c>
      <c r="J143" s="11" t="s">
        <v>62</v>
      </c>
      <c r="K143" s="18">
        <f>--(Q143="valid")</f>
        <v>1</v>
      </c>
      <c r="L143" s="18">
        <f>--AND(K143=1,F143&lt;&gt;"")</f>
        <v>1</v>
      </c>
      <c r="M143" s="18">
        <f>--AND(K143=1,L143=1,G143&gt;'Leia-me'!$C$11)</f>
        <v>0</v>
      </c>
      <c r="N143" s="18">
        <f>--AND(K143=1,F143="")</f>
        <v>0</v>
      </c>
      <c r="O143" s="18">
        <f>--AND(N143=1,G143&gt;'Leia-me'!$C$11)</f>
        <v>0</v>
      </c>
      <c r="P143" s="19">
        <f>IF(L143=1,G143,"")</f>
        <v>3.0</v>
      </c>
      <c r="Q143" s="11" t="s">
        <v>435</v>
      </c>
      <c r="R143" s="11"/>
    </row>
    <row r="144" spans="1:18" ht="32" customHeight="1">
      <c r="A144" s="9" t="s">
        <v>573</v>
      </c>
      <c r="B144" s="9" t="s">
        <v>207</v>
      </c>
      <c r="C144" s="9" t="s">
        <v>50</v>
      </c>
      <c r="D144" s="9" t="s">
        <v>94</v>
      </c>
      <c r="E144" s="6">
        <v>45728.375</v>
      </c>
      <c r="F144" s="6">
        <v>45729.375</v>
      </c>
      <c r="G144" s="14">
        <f>IF(E144="","",IF(F144="",'Leia-me'!$C$10-E144,F144-E144))</f>
        <v>1.0</v>
      </c>
      <c r="H144" s="20" t="str">
        <f>IF(F144="",IF(G144&gt;'Leia-me'!$C$11,"Aberto vencido","Aberto no prazo"),IF(G144&gt;'Leia-me'!$C$11,"Fora do prazo","Dentro do prazo"))</f>
        <v>Dentro do prazo</v>
      </c>
      <c r="I144" s="9" t="s">
        <v>208</v>
      </c>
      <c r="J144" s="9" t="s">
        <v>56</v>
      </c>
      <c r="K144" s="7">
        <f>--(Q144="valid")</f>
        <v>1</v>
      </c>
      <c r="L144" s="7">
        <f>--AND(K144=1,F144&lt;&gt;"")</f>
        <v>1</v>
      </c>
      <c r="M144" s="7">
        <f>--AND(K144=1,L144=1,G144&gt;'Leia-me'!$C$11)</f>
        <v>0</v>
      </c>
      <c r="N144" s="7">
        <f>--AND(K144=1,F144="")</f>
        <v>0</v>
      </c>
      <c r="O144" s="7">
        <f>--AND(N144=1,G144&gt;'Leia-me'!$C$11)</f>
        <v>0</v>
      </c>
      <c r="P144" s="16">
        <f>IF(L144=1,G144,"")</f>
        <v>1.0</v>
      </c>
      <c r="Q144" s="9" t="s">
        <v>435</v>
      </c>
      <c r="R144" s="9"/>
    </row>
    <row r="145" spans="1:18" ht="32" customHeight="1">
      <c r="A145" s="11" t="s">
        <v>574</v>
      </c>
      <c r="B145" s="11" t="s">
        <v>221</v>
      </c>
      <c r="C145" s="11" t="s">
        <v>90</v>
      </c>
      <c r="D145" s="11" t="s">
        <v>115</v>
      </c>
      <c r="E145" s="12">
        <v>45733.375</v>
      </c>
      <c r="F145" s="12">
        <v>45735.375</v>
      </c>
      <c r="G145" s="17">
        <f>IF(E145="","",IF(F145="",'Leia-me'!$C$10-E145,F145-E145))</f>
        <v>2.0</v>
      </c>
      <c r="H145" s="20" t="str">
        <f>IF(F145="",IF(G145&gt;'Leia-me'!$C$11,"Aberto vencido","Aberto no prazo"),IF(G145&gt;'Leia-me'!$C$11,"Fora do prazo","Dentro do prazo"))</f>
        <v>Dentro do prazo</v>
      </c>
      <c r="I145" s="11" t="s">
        <v>222</v>
      </c>
      <c r="J145" s="11" t="s">
        <v>92</v>
      </c>
      <c r="K145" s="18">
        <f>--(Q145="valid")</f>
        <v>1</v>
      </c>
      <c r="L145" s="18">
        <f>--AND(K145=1,F145&lt;&gt;"")</f>
        <v>1</v>
      </c>
      <c r="M145" s="18">
        <f>--AND(K145=1,L145=1,G145&gt;'Leia-me'!$C$11)</f>
        <v>0</v>
      </c>
      <c r="N145" s="18">
        <f>--AND(K145=1,F145="")</f>
        <v>0</v>
      </c>
      <c r="O145" s="18">
        <f>--AND(N145=1,G145&gt;'Leia-me'!$C$11)</f>
        <v>0</v>
      </c>
      <c r="P145" s="19">
        <f>IF(L145=1,G145,"")</f>
        <v>2.0</v>
      </c>
      <c r="Q145" s="11" t="s">
        <v>435</v>
      </c>
      <c r="R145" s="11"/>
    </row>
    <row r="146" spans="1:18" ht="32" customHeight="1">
      <c r="A146" s="9" t="s">
        <v>575</v>
      </c>
      <c r="B146" s="9" t="s">
        <v>235</v>
      </c>
      <c r="C146" s="9" t="s">
        <v>85</v>
      </c>
      <c r="D146" s="9" t="s">
        <v>136</v>
      </c>
      <c r="E146" s="6">
        <v>45718.375</v>
      </c>
      <c r="F146" s="6">
        <v>45721.375</v>
      </c>
      <c r="G146" s="14">
        <f>IF(E146="","",IF(F146="",'Leia-me'!$C$10-E146,F146-E146))</f>
        <v>3.0</v>
      </c>
      <c r="H146" s="20" t="str">
        <f>IF(F146="",IF(G146&gt;'Leia-me'!$C$11,"Aberto vencido","Aberto no prazo"),IF(G146&gt;'Leia-me'!$C$11,"Fora do prazo","Dentro do prazo"))</f>
        <v>Dentro do prazo</v>
      </c>
      <c r="I146" s="9" t="s">
        <v>236</v>
      </c>
      <c r="J146" s="9" t="s">
        <v>87</v>
      </c>
      <c r="K146" s="7">
        <f>--(Q146="valid")</f>
        <v>1</v>
      </c>
      <c r="L146" s="7">
        <f>--AND(K146=1,F146&lt;&gt;"")</f>
        <v>1</v>
      </c>
      <c r="M146" s="7">
        <f>--AND(K146=1,L146=1,G146&gt;'Leia-me'!$C$11)</f>
        <v>0</v>
      </c>
      <c r="N146" s="7">
        <f>--AND(K146=1,F146="")</f>
        <v>0</v>
      </c>
      <c r="O146" s="7">
        <f>--AND(N146=1,G146&gt;'Leia-me'!$C$11)</f>
        <v>0</v>
      </c>
      <c r="P146" s="16">
        <f>IF(L146=1,G146,"")</f>
        <v>3.0</v>
      </c>
      <c r="Q146" s="9" t="s">
        <v>435</v>
      </c>
      <c r="R146" s="9"/>
    </row>
    <row r="147" spans="1:18" ht="32" customHeight="1">
      <c r="A147" s="11" t="s">
        <v>576</v>
      </c>
      <c r="B147" s="11" t="s">
        <v>249</v>
      </c>
      <c r="C147" s="11" t="s">
        <v>80</v>
      </c>
      <c r="D147" s="11" t="s">
        <v>79</v>
      </c>
      <c r="E147" s="12">
        <v>45723.375</v>
      </c>
      <c r="F147" s="12">
        <v>45724.375</v>
      </c>
      <c r="G147" s="17">
        <f>IF(E147="","",IF(F147="",'Leia-me'!$C$10-E147,F147-E147))</f>
        <v>1.0</v>
      </c>
      <c r="H147" s="20" t="str">
        <f>IF(F147="",IF(G147&gt;'Leia-me'!$C$11,"Aberto vencido","Aberto no prazo"),IF(G147&gt;'Leia-me'!$C$11,"Fora do prazo","Dentro do prazo"))</f>
        <v>Dentro do prazo</v>
      </c>
      <c r="I147" s="11" t="s">
        <v>250</v>
      </c>
      <c r="J147" s="11" t="s">
        <v>82</v>
      </c>
      <c r="K147" s="18">
        <f>--(Q147="valid")</f>
        <v>1</v>
      </c>
      <c r="L147" s="18">
        <f>--AND(K147=1,F147&lt;&gt;"")</f>
        <v>1</v>
      </c>
      <c r="M147" s="18">
        <f>--AND(K147=1,L147=1,G147&gt;'Leia-me'!$C$11)</f>
        <v>0</v>
      </c>
      <c r="N147" s="18">
        <f>--AND(K147=1,F147="")</f>
        <v>0</v>
      </c>
      <c r="O147" s="18">
        <f>--AND(N147=1,G147&gt;'Leia-me'!$C$11)</f>
        <v>0</v>
      </c>
      <c r="P147" s="19">
        <f>IF(L147=1,G147,"")</f>
        <v>1.0</v>
      </c>
      <c r="Q147" s="11" t="s">
        <v>435</v>
      </c>
      <c r="R147" s="11"/>
    </row>
    <row r="148" spans="1:18" ht="32" customHeight="1">
      <c r="A148" s="9" t="s">
        <v>577</v>
      </c>
      <c r="B148" s="9" t="s">
        <v>263</v>
      </c>
      <c r="C148" s="9" t="s">
        <v>75</v>
      </c>
      <c r="D148" s="9" t="s">
        <v>106</v>
      </c>
      <c r="E148" s="6">
        <v>45728.375</v>
      </c>
      <c r="F148" s="6">
        <v>45730.375</v>
      </c>
      <c r="G148" s="14">
        <f>IF(E148="","",IF(F148="",'Leia-me'!$C$10-E148,F148-E148))</f>
        <v>2.0</v>
      </c>
      <c r="H148" s="20" t="str">
        <f>IF(F148="",IF(G148&gt;'Leia-me'!$C$11,"Aberto vencido","Aberto no prazo"),IF(G148&gt;'Leia-me'!$C$11,"Fora do prazo","Dentro do prazo"))</f>
        <v>Dentro do prazo</v>
      </c>
      <c r="I148" s="9" t="s">
        <v>264</v>
      </c>
      <c r="J148" s="9" t="s">
        <v>77</v>
      </c>
      <c r="K148" s="7">
        <f>--(Q148="valid")</f>
        <v>1</v>
      </c>
      <c r="L148" s="7">
        <f>--AND(K148=1,F148&lt;&gt;"")</f>
        <v>1</v>
      </c>
      <c r="M148" s="7">
        <f>--AND(K148=1,L148=1,G148&gt;'Leia-me'!$C$11)</f>
        <v>0</v>
      </c>
      <c r="N148" s="7">
        <f>--AND(K148=1,F148="")</f>
        <v>0</v>
      </c>
      <c r="O148" s="7">
        <f>--AND(N148=1,G148&gt;'Leia-me'!$C$11)</f>
        <v>0</v>
      </c>
      <c r="P148" s="16">
        <f>IF(L148=1,G148,"")</f>
        <v>2.0</v>
      </c>
      <c r="Q148" s="9" t="s">
        <v>435</v>
      </c>
      <c r="R148" s="9"/>
    </row>
    <row r="149" spans="1:18" ht="32" customHeight="1">
      <c r="A149" s="11" t="s">
        <v>578</v>
      </c>
      <c r="B149" s="11" t="s">
        <v>279</v>
      </c>
      <c r="C149" s="11" t="s">
        <v>70</v>
      </c>
      <c r="D149" s="11" t="s">
        <v>127</v>
      </c>
      <c r="E149" s="12">
        <v>45733.375</v>
      </c>
      <c r="F149" s="12">
        <v>45736.375</v>
      </c>
      <c r="G149" s="17">
        <f>IF(E149="","",IF(F149="",'Leia-me'!$C$10-E149,F149-E149))</f>
        <v>3.0</v>
      </c>
      <c r="H149" s="20" t="str">
        <f>IF(F149="",IF(G149&gt;'Leia-me'!$C$11,"Aberto vencido","Aberto no prazo"),IF(G149&gt;'Leia-me'!$C$11,"Fora do prazo","Dentro do prazo"))</f>
        <v>Dentro do prazo</v>
      </c>
      <c r="I149" s="11" t="s">
        <v>280</v>
      </c>
      <c r="J149" s="11" t="s">
        <v>72</v>
      </c>
      <c r="K149" s="18">
        <f>--(Q149="valid")</f>
        <v>1</v>
      </c>
      <c r="L149" s="18">
        <f>--AND(K149=1,F149&lt;&gt;"")</f>
        <v>1</v>
      </c>
      <c r="M149" s="18">
        <f>--AND(K149=1,L149=1,G149&gt;'Leia-me'!$C$11)</f>
        <v>0</v>
      </c>
      <c r="N149" s="18">
        <f>--AND(K149=1,F149="")</f>
        <v>0</v>
      </c>
      <c r="O149" s="18">
        <f>--AND(N149=1,G149&gt;'Leia-me'!$C$11)</f>
        <v>0</v>
      </c>
      <c r="P149" s="19">
        <f>IF(L149=1,G149,"")</f>
        <v>3.0</v>
      </c>
      <c r="Q149" s="11" t="s">
        <v>435</v>
      </c>
      <c r="R149" s="11"/>
    </row>
    <row r="150" spans="1:18" ht="32" customHeight="1">
      <c r="A150" s="9" t="s">
        <v>579</v>
      </c>
      <c r="B150" s="9" t="s">
        <v>293</v>
      </c>
      <c r="C150" s="9" t="s">
        <v>65</v>
      </c>
      <c r="D150" s="9" t="s">
        <v>64</v>
      </c>
      <c r="E150" s="6">
        <v>45718.375</v>
      </c>
      <c r="F150" s="6">
        <v>45719.375</v>
      </c>
      <c r="G150" s="14">
        <f>IF(E150="","",IF(F150="",'Leia-me'!$C$10-E150,F150-E150))</f>
        <v>1.0</v>
      </c>
      <c r="H150" s="20" t="str">
        <f>IF(F150="",IF(G150&gt;'Leia-me'!$C$11,"Aberto vencido","Aberto no prazo"),IF(G150&gt;'Leia-me'!$C$11,"Fora do prazo","Dentro do prazo"))</f>
        <v>Dentro do prazo</v>
      </c>
      <c r="I150" s="9" t="s">
        <v>294</v>
      </c>
      <c r="J150" s="9" t="s">
        <v>67</v>
      </c>
      <c r="K150" s="7">
        <f>--(Q150="valid")</f>
        <v>1</v>
      </c>
      <c r="L150" s="7">
        <f>--AND(K150=1,F150&lt;&gt;"")</f>
        <v>1</v>
      </c>
      <c r="M150" s="7">
        <f>--AND(K150=1,L150=1,G150&gt;'Leia-me'!$C$11)</f>
        <v>0</v>
      </c>
      <c r="N150" s="7">
        <f>--AND(K150=1,F150="")</f>
        <v>0</v>
      </c>
      <c r="O150" s="7">
        <f>--AND(N150=1,G150&gt;'Leia-me'!$C$11)</f>
        <v>0</v>
      </c>
      <c r="P150" s="16">
        <f>IF(L150=1,G150,"")</f>
        <v>1.0</v>
      </c>
      <c r="Q150" s="9" t="s">
        <v>435</v>
      </c>
      <c r="R150" s="9"/>
    </row>
    <row r="151" spans="1:18" ht="32" customHeight="1">
      <c r="A151" s="11" t="s">
        <v>580</v>
      </c>
      <c r="B151" s="11" t="s">
        <v>307</v>
      </c>
      <c r="C151" s="11" t="s">
        <v>60</v>
      </c>
      <c r="D151" s="11" t="s">
        <v>97</v>
      </c>
      <c r="E151" s="12">
        <v>45723.375</v>
      </c>
      <c r="F151" s="12">
        <v>45725.375</v>
      </c>
      <c r="G151" s="17">
        <f>IF(E151="","",IF(F151="",'Leia-me'!$C$10-E151,F151-E151))</f>
        <v>2.0</v>
      </c>
      <c r="H151" s="20" t="str">
        <f>IF(F151="",IF(G151&gt;'Leia-me'!$C$11,"Aberto vencido","Aberto no prazo"),IF(G151&gt;'Leia-me'!$C$11,"Fora do prazo","Dentro do prazo"))</f>
        <v>Dentro do prazo</v>
      </c>
      <c r="I151" s="11" t="s">
        <v>308</v>
      </c>
      <c r="J151" s="11" t="s">
        <v>62</v>
      </c>
      <c r="K151" s="18">
        <f>--(Q151="valid")</f>
        <v>1</v>
      </c>
      <c r="L151" s="18">
        <f>--AND(K151=1,F151&lt;&gt;"")</f>
        <v>1</v>
      </c>
      <c r="M151" s="18">
        <f>--AND(K151=1,L151=1,G151&gt;'Leia-me'!$C$11)</f>
        <v>0</v>
      </c>
      <c r="N151" s="18">
        <f>--AND(K151=1,F151="")</f>
        <v>0</v>
      </c>
      <c r="O151" s="18">
        <f>--AND(N151=1,G151&gt;'Leia-me'!$C$11)</f>
        <v>0</v>
      </c>
      <c r="P151" s="19">
        <f>IF(L151=1,G151,"")</f>
        <v>2.0</v>
      </c>
      <c r="Q151" s="11" t="s">
        <v>435</v>
      </c>
      <c r="R151" s="11"/>
    </row>
    <row r="152" spans="1:18" ht="32" customHeight="1">
      <c r="A152" s="9" t="s">
        <v>581</v>
      </c>
      <c r="B152" s="9" t="s">
        <v>321</v>
      </c>
      <c r="C152" s="9" t="s">
        <v>50</v>
      </c>
      <c r="D152" s="9" t="s">
        <v>118</v>
      </c>
      <c r="E152" s="6">
        <v>45728.375</v>
      </c>
      <c r="F152" s="6">
        <v>45731.375</v>
      </c>
      <c r="G152" s="14">
        <f>IF(E152="","",IF(F152="",'Leia-me'!$C$10-E152,F152-E152))</f>
        <v>3.0</v>
      </c>
      <c r="H152" s="20" t="str">
        <f>IF(F152="",IF(G152&gt;'Leia-me'!$C$11,"Aberto vencido","Aberto no prazo"),IF(G152&gt;'Leia-me'!$C$11,"Fora do prazo","Dentro do prazo"))</f>
        <v>Dentro do prazo</v>
      </c>
      <c r="I152" s="9" t="s">
        <v>322</v>
      </c>
      <c r="J152" s="9" t="s">
        <v>56</v>
      </c>
      <c r="K152" s="7">
        <f>--(Q152="valid")</f>
        <v>1</v>
      </c>
      <c r="L152" s="7">
        <f>--AND(K152=1,F152&lt;&gt;"")</f>
        <v>1</v>
      </c>
      <c r="M152" s="7">
        <f>--AND(K152=1,L152=1,G152&gt;'Leia-me'!$C$11)</f>
        <v>0</v>
      </c>
      <c r="N152" s="7">
        <f>--AND(K152=1,F152="")</f>
        <v>0</v>
      </c>
      <c r="O152" s="7">
        <f>--AND(N152=1,G152&gt;'Leia-me'!$C$11)</f>
        <v>0</v>
      </c>
      <c r="P152" s="16">
        <f>IF(L152=1,G152,"")</f>
        <v>3.0</v>
      </c>
      <c r="Q152" s="9" t="s">
        <v>435</v>
      </c>
      <c r="R152" s="9"/>
    </row>
    <row r="153" spans="1:18" ht="32" customHeight="1">
      <c r="A153" s="11" t="s">
        <v>582</v>
      </c>
      <c r="B153" s="11" t="s">
        <v>335</v>
      </c>
      <c r="C153" s="11" t="s">
        <v>90</v>
      </c>
      <c r="D153" s="11" t="s">
        <v>139</v>
      </c>
      <c r="E153" s="12">
        <v>45733.375</v>
      </c>
      <c r="F153" s="12">
        <v>45734.375</v>
      </c>
      <c r="G153" s="17">
        <f>IF(E153="","",IF(F153="",'Leia-me'!$C$10-E153,F153-E153))</f>
        <v>1.0</v>
      </c>
      <c r="H153" s="20" t="str">
        <f>IF(F153="",IF(G153&gt;'Leia-me'!$C$11,"Aberto vencido","Aberto no prazo"),IF(G153&gt;'Leia-me'!$C$11,"Fora do prazo","Dentro do prazo"))</f>
        <v>Dentro do prazo</v>
      </c>
      <c r="I153" s="11" t="s">
        <v>336</v>
      </c>
      <c r="J153" s="11" t="s">
        <v>92</v>
      </c>
      <c r="K153" s="18">
        <f>--(Q153="valid")</f>
        <v>1</v>
      </c>
      <c r="L153" s="18">
        <f>--AND(K153=1,F153&lt;&gt;"")</f>
        <v>1</v>
      </c>
      <c r="M153" s="18">
        <f>--AND(K153=1,L153=1,G153&gt;'Leia-me'!$C$11)</f>
        <v>0</v>
      </c>
      <c r="N153" s="18">
        <f>--AND(K153=1,F153="")</f>
        <v>0</v>
      </c>
      <c r="O153" s="18">
        <f>--AND(N153=1,G153&gt;'Leia-me'!$C$11)</f>
        <v>0</v>
      </c>
      <c r="P153" s="19">
        <f>IF(L153=1,G153,"")</f>
        <v>1.0</v>
      </c>
      <c r="Q153" s="11" t="s">
        <v>435</v>
      </c>
      <c r="R153" s="11"/>
    </row>
    <row r="154" spans="1:18" ht="32" customHeight="1">
      <c r="A154" s="9" t="s">
        <v>583</v>
      </c>
      <c r="B154" s="9" t="s">
        <v>349</v>
      </c>
      <c r="C154" s="9" t="s">
        <v>85</v>
      </c>
      <c r="D154" s="9" t="s">
        <v>84</v>
      </c>
      <c r="E154" s="6">
        <v>45718.375</v>
      </c>
      <c r="F154" s="6">
        <v>45720.375</v>
      </c>
      <c r="G154" s="14">
        <f>IF(E154="","",IF(F154="",'Leia-me'!$C$10-E154,F154-E154))</f>
        <v>2.0</v>
      </c>
      <c r="H154" s="20" t="str">
        <f>IF(F154="",IF(G154&gt;'Leia-me'!$C$11,"Aberto vencido","Aberto no prazo"),IF(G154&gt;'Leia-me'!$C$11,"Fora do prazo","Dentro do prazo"))</f>
        <v>Dentro do prazo</v>
      </c>
      <c r="I154" s="9" t="s">
        <v>350</v>
      </c>
      <c r="J154" s="9" t="s">
        <v>87</v>
      </c>
      <c r="K154" s="7">
        <f>--(Q154="valid")</f>
        <v>1</v>
      </c>
      <c r="L154" s="7">
        <f>--AND(K154=1,F154&lt;&gt;"")</f>
        <v>1</v>
      </c>
      <c r="M154" s="7">
        <f>--AND(K154=1,L154=1,G154&gt;'Leia-me'!$C$11)</f>
        <v>0</v>
      </c>
      <c r="N154" s="7">
        <f>--AND(K154=1,F154="")</f>
        <v>0</v>
      </c>
      <c r="O154" s="7">
        <f>--AND(N154=1,G154&gt;'Leia-me'!$C$11)</f>
        <v>0</v>
      </c>
      <c r="P154" s="16">
        <f>IF(L154=1,G154,"")</f>
        <v>2.0</v>
      </c>
      <c r="Q154" s="9" t="s">
        <v>435</v>
      </c>
      <c r="R154" s="9"/>
    </row>
    <row r="155" spans="1:18" ht="32" customHeight="1">
      <c r="A155" s="11" t="s">
        <v>584</v>
      </c>
      <c r="B155" s="11" t="s">
        <v>68</v>
      </c>
      <c r="C155" s="11" t="s">
        <v>70</v>
      </c>
      <c r="D155" s="11" t="s">
        <v>69</v>
      </c>
      <c r="E155" s="12">
        <v>45723.375</v>
      </c>
      <c r="F155" s="12">
        <v>45726.375</v>
      </c>
      <c r="G155" s="17">
        <f>IF(E155="","",IF(F155="",'Leia-me'!$C$10-E155,F155-E155))</f>
        <v>3.0</v>
      </c>
      <c r="H155" s="20" t="str">
        <f>IF(F155="",IF(G155&gt;'Leia-me'!$C$11,"Aberto vencido","Aberto no prazo"),IF(G155&gt;'Leia-me'!$C$11,"Fora do prazo","Dentro do prazo"))</f>
        <v>Dentro do prazo</v>
      </c>
      <c r="I155" s="11" t="s">
        <v>71</v>
      </c>
      <c r="J155" s="11" t="s">
        <v>72</v>
      </c>
      <c r="K155" s="18">
        <f>--(Q155="valid")</f>
        <v>1</v>
      </c>
      <c r="L155" s="18">
        <f>--AND(K155=1,F155&lt;&gt;"")</f>
        <v>1</v>
      </c>
      <c r="M155" s="18">
        <f>--AND(K155=1,L155=1,G155&gt;'Leia-me'!$C$11)</f>
        <v>0</v>
      </c>
      <c r="N155" s="18">
        <f>--AND(K155=1,F155="")</f>
        <v>0</v>
      </c>
      <c r="O155" s="18">
        <f>--AND(N155=1,G155&gt;'Leia-me'!$C$11)</f>
        <v>0</v>
      </c>
      <c r="P155" s="19">
        <f>IF(L155=1,G155,"")</f>
        <v>3.0</v>
      </c>
      <c r="Q155" s="11" t="s">
        <v>435</v>
      </c>
      <c r="R155" s="11"/>
    </row>
    <row r="156" spans="1:18" ht="32" customHeight="1">
      <c r="A156" s="9" t="s">
        <v>585</v>
      </c>
      <c r="B156" s="9" t="s">
        <v>99</v>
      </c>
      <c r="C156" s="9" t="s">
        <v>65</v>
      </c>
      <c r="D156" s="9" t="s">
        <v>100</v>
      </c>
      <c r="E156" s="6">
        <v>45728.375</v>
      </c>
      <c r="F156" s="6">
        <v>45729.375</v>
      </c>
      <c r="G156" s="14">
        <f>IF(E156="","",IF(F156="",'Leia-me'!$C$10-E156,F156-E156))</f>
        <v>1.0</v>
      </c>
      <c r="H156" s="20" t="str">
        <f>IF(F156="",IF(G156&gt;'Leia-me'!$C$11,"Aberto vencido","Aberto no prazo"),IF(G156&gt;'Leia-me'!$C$11,"Fora do prazo","Dentro do prazo"))</f>
        <v>Dentro do prazo</v>
      </c>
      <c r="I156" s="9" t="s">
        <v>101</v>
      </c>
      <c r="J156" s="9" t="s">
        <v>67</v>
      </c>
      <c r="K156" s="7">
        <f>--(Q156="valid")</f>
        <v>1</v>
      </c>
      <c r="L156" s="7">
        <f>--AND(K156=1,F156&lt;&gt;"")</f>
        <v>1</v>
      </c>
      <c r="M156" s="7">
        <f>--AND(K156=1,L156=1,G156&gt;'Leia-me'!$C$11)</f>
        <v>0</v>
      </c>
      <c r="N156" s="7">
        <f>--AND(K156=1,F156="")</f>
        <v>0</v>
      </c>
      <c r="O156" s="7">
        <f>--AND(N156=1,G156&gt;'Leia-me'!$C$11)</f>
        <v>0</v>
      </c>
      <c r="P156" s="16">
        <f>IF(L156=1,G156,"")</f>
        <v>1.0</v>
      </c>
      <c r="Q156" s="9" t="s">
        <v>435</v>
      </c>
      <c r="R156" s="9"/>
    </row>
    <row r="157" spans="1:18" ht="32" customHeight="1">
      <c r="A157" s="11" t="s">
        <v>586</v>
      </c>
      <c r="B157" s="11" t="s">
        <v>120</v>
      </c>
      <c r="C157" s="11" t="s">
        <v>60</v>
      </c>
      <c r="D157" s="11" t="s">
        <v>121</v>
      </c>
      <c r="E157" s="12">
        <v>45733.375</v>
      </c>
      <c r="F157" s="12">
        <v>45735.375</v>
      </c>
      <c r="G157" s="17">
        <f>IF(E157="","",IF(F157="",'Leia-me'!$C$10-E157,F157-E157))</f>
        <v>2.0</v>
      </c>
      <c r="H157" s="20" t="str">
        <f>IF(F157="",IF(G157&gt;'Leia-me'!$C$11,"Aberto vencido","Aberto no prazo"),IF(G157&gt;'Leia-me'!$C$11,"Fora do prazo","Dentro do prazo"))</f>
        <v>Dentro do prazo</v>
      </c>
      <c r="I157" s="11" t="s">
        <v>122</v>
      </c>
      <c r="J157" s="11" t="s">
        <v>62</v>
      </c>
      <c r="K157" s="18">
        <f>--(Q157="valid")</f>
        <v>1</v>
      </c>
      <c r="L157" s="18">
        <f>--AND(K157=1,F157&lt;&gt;"")</f>
        <v>1</v>
      </c>
      <c r="M157" s="18">
        <f>--AND(K157=1,L157=1,G157&gt;'Leia-me'!$C$11)</f>
        <v>0</v>
      </c>
      <c r="N157" s="18">
        <f>--AND(K157=1,F157="")</f>
        <v>0</v>
      </c>
      <c r="O157" s="18">
        <f>--AND(N157=1,G157&gt;'Leia-me'!$C$11)</f>
        <v>0</v>
      </c>
      <c r="P157" s="19">
        <f>IF(L157=1,G157,"")</f>
        <v>2.0</v>
      </c>
      <c r="Q157" s="11" t="s">
        <v>435</v>
      </c>
      <c r="R157" s="11"/>
    </row>
    <row r="158" spans="1:18" ht="32" customHeight="1">
      <c r="A158" s="9" t="s">
        <v>587</v>
      </c>
      <c r="B158" s="9" t="s">
        <v>141</v>
      </c>
      <c r="C158" s="9" t="s">
        <v>50</v>
      </c>
      <c r="D158" s="9" t="s">
        <v>49</v>
      </c>
      <c r="E158" s="6">
        <v>45718.375</v>
      </c>
      <c r="F158" s="6">
        <v>45721.375</v>
      </c>
      <c r="G158" s="14">
        <f>IF(E158="","",IF(F158="",'Leia-me'!$C$10-E158,F158-E158))</f>
        <v>3.0</v>
      </c>
      <c r="H158" s="20" t="str">
        <f>IF(F158="",IF(G158&gt;'Leia-me'!$C$11,"Aberto vencido","Aberto no prazo"),IF(G158&gt;'Leia-me'!$C$11,"Fora do prazo","Dentro do prazo"))</f>
        <v>Dentro do prazo</v>
      </c>
      <c r="I158" s="9" t="s">
        <v>142</v>
      </c>
      <c r="J158" s="9" t="s">
        <v>56</v>
      </c>
      <c r="K158" s="7">
        <f>--(Q158="valid")</f>
        <v>1</v>
      </c>
      <c r="L158" s="7">
        <f>--AND(K158=1,F158&lt;&gt;"")</f>
        <v>1</v>
      </c>
      <c r="M158" s="7">
        <f>--AND(K158=1,L158=1,G158&gt;'Leia-me'!$C$11)</f>
        <v>0</v>
      </c>
      <c r="N158" s="7">
        <f>--AND(K158=1,F158="")</f>
        <v>0</v>
      </c>
      <c r="O158" s="7">
        <f>--AND(N158=1,G158&gt;'Leia-me'!$C$11)</f>
        <v>0</v>
      </c>
      <c r="P158" s="16">
        <f>IF(L158=1,G158,"")</f>
        <v>3.0</v>
      </c>
      <c r="Q158" s="9" t="s">
        <v>435</v>
      </c>
      <c r="R158" s="9"/>
    </row>
    <row r="159" spans="1:18" ht="32" customHeight="1">
      <c r="A159" s="11" t="s">
        <v>588</v>
      </c>
      <c r="B159" s="11" t="s">
        <v>155</v>
      </c>
      <c r="C159" s="11" t="s">
        <v>90</v>
      </c>
      <c r="D159" s="11" t="s">
        <v>89</v>
      </c>
      <c r="E159" s="12">
        <v>45723.375</v>
      </c>
      <c r="F159" s="12">
        <v>45724.375</v>
      </c>
      <c r="G159" s="17">
        <f>IF(E159="","",IF(F159="",'Leia-me'!$C$10-E159,F159-E159))</f>
        <v>1.0</v>
      </c>
      <c r="H159" s="20" t="str">
        <f>IF(F159="",IF(G159&gt;'Leia-me'!$C$11,"Aberto vencido","Aberto no prazo"),IF(G159&gt;'Leia-me'!$C$11,"Fora do prazo","Dentro do prazo"))</f>
        <v>Dentro do prazo</v>
      </c>
      <c r="I159" s="11" t="s">
        <v>156</v>
      </c>
      <c r="J159" s="11" t="s">
        <v>92</v>
      </c>
      <c r="K159" s="18">
        <f>--(Q159="valid")</f>
        <v>1</v>
      </c>
      <c r="L159" s="18">
        <f>--AND(K159=1,F159&lt;&gt;"")</f>
        <v>1</v>
      </c>
      <c r="M159" s="18">
        <f>--AND(K159=1,L159=1,G159&gt;'Leia-me'!$C$11)</f>
        <v>0</v>
      </c>
      <c r="N159" s="18">
        <f>--AND(K159=1,F159="")</f>
        <v>0</v>
      </c>
      <c r="O159" s="18">
        <f>--AND(N159=1,G159&gt;'Leia-me'!$C$11)</f>
        <v>0</v>
      </c>
      <c r="P159" s="19">
        <f>IF(L159=1,G159,"")</f>
        <v>1.0</v>
      </c>
      <c r="Q159" s="11" t="s">
        <v>435</v>
      </c>
      <c r="R159" s="11"/>
    </row>
    <row r="160" spans="1:18" ht="32" customHeight="1">
      <c r="A160" s="9" t="s">
        <v>589</v>
      </c>
      <c r="B160" s="9" t="s">
        <v>169</v>
      </c>
      <c r="C160" s="9" t="s">
        <v>85</v>
      </c>
      <c r="D160" s="9" t="s">
        <v>112</v>
      </c>
      <c r="E160" s="6">
        <v>45728.375</v>
      </c>
      <c r="F160" s="6">
        <v>45730.375</v>
      </c>
      <c r="G160" s="14">
        <f>IF(E160="","",IF(F160="",'Leia-me'!$C$10-E160,F160-E160))</f>
        <v>2.0</v>
      </c>
      <c r="H160" s="20" t="str">
        <f>IF(F160="",IF(G160&gt;'Leia-me'!$C$11,"Aberto vencido","Aberto no prazo"),IF(G160&gt;'Leia-me'!$C$11,"Fora do prazo","Dentro do prazo"))</f>
        <v>Dentro do prazo</v>
      </c>
      <c r="I160" s="9" t="s">
        <v>170</v>
      </c>
      <c r="J160" s="9" t="s">
        <v>87</v>
      </c>
      <c r="K160" s="7">
        <f>--(Q160="valid")</f>
        <v>1</v>
      </c>
      <c r="L160" s="7">
        <f>--AND(K160=1,F160&lt;&gt;"")</f>
        <v>1</v>
      </c>
      <c r="M160" s="7">
        <f>--AND(K160=1,L160=1,G160&gt;'Leia-me'!$C$11)</f>
        <v>0</v>
      </c>
      <c r="N160" s="7">
        <f>--AND(K160=1,F160="")</f>
        <v>0</v>
      </c>
      <c r="O160" s="7">
        <f>--AND(N160=1,G160&gt;'Leia-me'!$C$11)</f>
        <v>0</v>
      </c>
      <c r="P160" s="16">
        <f>IF(L160=1,G160,"")</f>
        <v>2.0</v>
      </c>
      <c r="Q160" s="9" t="s">
        <v>435</v>
      </c>
      <c r="R160" s="9"/>
    </row>
    <row r="161" spans="1:18" ht="32" customHeight="1">
      <c r="A161" s="11" t="s">
        <v>590</v>
      </c>
      <c r="B161" s="11" t="s">
        <v>183</v>
      </c>
      <c r="C161" s="11" t="s">
        <v>80</v>
      </c>
      <c r="D161" s="11" t="s">
        <v>133</v>
      </c>
      <c r="E161" s="12">
        <v>45733.375</v>
      </c>
      <c r="F161" s="12">
        <v>45736.375</v>
      </c>
      <c r="G161" s="17">
        <f>IF(E161="","",IF(F161="",'Leia-me'!$C$10-E161,F161-E161))</f>
        <v>3.0</v>
      </c>
      <c r="H161" s="20" t="str">
        <f>IF(F161="",IF(G161&gt;'Leia-me'!$C$11,"Aberto vencido","Aberto no prazo"),IF(G161&gt;'Leia-me'!$C$11,"Fora do prazo","Dentro do prazo"))</f>
        <v>Dentro do prazo</v>
      </c>
      <c r="I161" s="11" t="s">
        <v>185</v>
      </c>
      <c r="J161" s="11" t="s">
        <v>82</v>
      </c>
      <c r="K161" s="18">
        <f>--(Q161="valid")</f>
        <v>1</v>
      </c>
      <c r="L161" s="18">
        <f>--AND(K161=1,F161&lt;&gt;"")</f>
        <v>1</v>
      </c>
      <c r="M161" s="18">
        <f>--AND(K161=1,L161=1,G161&gt;'Leia-me'!$C$11)</f>
        <v>0</v>
      </c>
      <c r="N161" s="18">
        <f>--AND(K161=1,F161="")</f>
        <v>0</v>
      </c>
      <c r="O161" s="18">
        <f>--AND(N161=1,G161&gt;'Leia-me'!$C$11)</f>
        <v>0</v>
      </c>
      <c r="P161" s="19">
        <f>IF(L161=1,G161,"")</f>
        <v>3.0</v>
      </c>
      <c r="Q161" s="11" t="s">
        <v>435</v>
      </c>
      <c r="R161" s="11"/>
    </row>
    <row r="162" spans="1:18" ht="32" customHeight="1">
      <c r="A162" s="9" t="s">
        <v>591</v>
      </c>
      <c r="B162" s="9" t="s">
        <v>199</v>
      </c>
      <c r="C162" s="9" t="s">
        <v>75</v>
      </c>
      <c r="D162" s="9" t="s">
        <v>74</v>
      </c>
      <c r="E162" s="6">
        <v>45718.375</v>
      </c>
      <c r="F162" s="6">
        <v>45719.375</v>
      </c>
      <c r="G162" s="14">
        <f>IF(E162="","",IF(F162="",'Leia-me'!$C$10-E162,F162-E162))</f>
        <v>1.0</v>
      </c>
      <c r="H162" s="20" t="str">
        <f>IF(F162="",IF(G162&gt;'Leia-me'!$C$11,"Aberto vencido","Aberto no prazo"),IF(G162&gt;'Leia-me'!$C$11,"Fora do prazo","Dentro do prazo"))</f>
        <v>Dentro do prazo</v>
      </c>
      <c r="I162" s="9" t="s">
        <v>200</v>
      </c>
      <c r="J162" s="9" t="s">
        <v>77</v>
      </c>
      <c r="K162" s="7">
        <f>--(Q162="valid")</f>
        <v>1</v>
      </c>
      <c r="L162" s="7">
        <f>--AND(K162=1,F162&lt;&gt;"")</f>
        <v>1</v>
      </c>
      <c r="M162" s="7">
        <f>--AND(K162=1,L162=1,G162&gt;'Leia-me'!$C$11)</f>
        <v>0</v>
      </c>
      <c r="N162" s="7">
        <f>--AND(K162=1,F162="")</f>
        <v>0</v>
      </c>
      <c r="O162" s="7">
        <f>--AND(N162=1,G162&gt;'Leia-me'!$C$11)</f>
        <v>0</v>
      </c>
      <c r="P162" s="16">
        <f>IF(L162=1,G162,"")</f>
        <v>1.0</v>
      </c>
      <c r="Q162" s="9" t="s">
        <v>435</v>
      </c>
      <c r="R162" s="9"/>
    </row>
    <row r="163" spans="1:18" ht="32" customHeight="1">
      <c r="A163" s="11" t="s">
        <v>592</v>
      </c>
      <c r="B163" s="11" t="s">
        <v>213</v>
      </c>
      <c r="C163" s="11" t="s">
        <v>70</v>
      </c>
      <c r="D163" s="11" t="s">
        <v>103</v>
      </c>
      <c r="E163" s="12">
        <v>45723.375</v>
      </c>
      <c r="F163" s="12">
        <v>45725.375</v>
      </c>
      <c r="G163" s="17">
        <f>IF(E163="","",IF(F163="",'Leia-me'!$C$10-E163,F163-E163))</f>
        <v>2.0</v>
      </c>
      <c r="H163" s="20" t="str">
        <f>IF(F163="",IF(G163&gt;'Leia-me'!$C$11,"Aberto vencido","Aberto no prazo"),IF(G163&gt;'Leia-me'!$C$11,"Fora do prazo","Dentro do prazo"))</f>
        <v>Dentro do prazo</v>
      </c>
      <c r="I163" s="11" t="s">
        <v>214</v>
      </c>
      <c r="J163" s="11" t="s">
        <v>72</v>
      </c>
      <c r="K163" s="18">
        <f>--(Q163="valid")</f>
        <v>1</v>
      </c>
      <c r="L163" s="18">
        <f>--AND(K163=1,F163&lt;&gt;"")</f>
        <v>1</v>
      </c>
      <c r="M163" s="18">
        <f>--AND(K163=1,L163=1,G163&gt;'Leia-me'!$C$11)</f>
        <v>0</v>
      </c>
      <c r="N163" s="18">
        <f>--AND(K163=1,F163="")</f>
        <v>0</v>
      </c>
      <c r="O163" s="18">
        <f>--AND(N163=1,G163&gt;'Leia-me'!$C$11)</f>
        <v>0</v>
      </c>
      <c r="P163" s="19">
        <f>IF(L163=1,G163,"")</f>
        <v>2.0</v>
      </c>
      <c r="Q163" s="11" t="s">
        <v>435</v>
      </c>
      <c r="R163" s="11"/>
    </row>
    <row r="164" spans="1:18" ht="32" customHeight="1">
      <c r="A164" s="9" t="s">
        <v>593</v>
      </c>
      <c r="B164" s="9" t="s">
        <v>227</v>
      </c>
      <c r="C164" s="9" t="s">
        <v>65</v>
      </c>
      <c r="D164" s="9" t="s">
        <v>124</v>
      </c>
      <c r="E164" s="6">
        <v>45728.375</v>
      </c>
      <c r="F164" s="6">
        <v>45731.375</v>
      </c>
      <c r="G164" s="14">
        <f>IF(E164="","",IF(F164="",'Leia-me'!$C$10-E164,F164-E164))</f>
        <v>3.0</v>
      </c>
      <c r="H164" s="20" t="str">
        <f>IF(F164="",IF(G164&gt;'Leia-me'!$C$11,"Aberto vencido","Aberto no prazo"),IF(G164&gt;'Leia-me'!$C$11,"Fora do prazo","Dentro do prazo"))</f>
        <v>Dentro do prazo</v>
      </c>
      <c r="I164" s="9" t="s">
        <v>228</v>
      </c>
      <c r="J164" s="9" t="s">
        <v>67</v>
      </c>
      <c r="K164" s="7">
        <f>--(Q164="valid")</f>
        <v>1</v>
      </c>
      <c r="L164" s="7">
        <f>--AND(K164=1,F164&lt;&gt;"")</f>
        <v>1</v>
      </c>
      <c r="M164" s="7">
        <f>--AND(K164=1,L164=1,G164&gt;'Leia-me'!$C$11)</f>
        <v>0</v>
      </c>
      <c r="N164" s="7">
        <f>--AND(K164=1,F164="")</f>
        <v>0</v>
      </c>
      <c r="O164" s="7">
        <f>--AND(N164=1,G164&gt;'Leia-me'!$C$11)</f>
        <v>0</v>
      </c>
      <c r="P164" s="16">
        <f>IF(L164=1,G164,"")</f>
        <v>3.0</v>
      </c>
      <c r="Q164" s="9" t="s">
        <v>435</v>
      </c>
      <c r="R164" s="9"/>
    </row>
    <row r="165" spans="1:18" ht="32" customHeight="1">
      <c r="A165" s="11" t="s">
        <v>594</v>
      </c>
      <c r="B165" s="11" t="s">
        <v>241</v>
      </c>
      <c r="C165" s="11" t="s">
        <v>60</v>
      </c>
      <c r="D165" s="11" t="s">
        <v>59</v>
      </c>
      <c r="E165" s="12">
        <v>45733.375</v>
      </c>
      <c r="F165" s="12">
        <v>45734.375</v>
      </c>
      <c r="G165" s="17">
        <f>IF(E165="","",IF(F165="",'Leia-me'!$C$10-E165,F165-E165))</f>
        <v>1.0</v>
      </c>
      <c r="H165" s="20" t="str">
        <f>IF(F165="",IF(G165&gt;'Leia-me'!$C$11,"Aberto vencido","Aberto no prazo"),IF(G165&gt;'Leia-me'!$C$11,"Fora do prazo","Dentro do prazo"))</f>
        <v>Dentro do prazo</v>
      </c>
      <c r="I165" s="11" t="s">
        <v>242</v>
      </c>
      <c r="J165" s="11" t="s">
        <v>62</v>
      </c>
      <c r="K165" s="18">
        <f>--(Q165="valid")</f>
        <v>1</v>
      </c>
      <c r="L165" s="18">
        <f>--AND(K165=1,F165&lt;&gt;"")</f>
        <v>1</v>
      </c>
      <c r="M165" s="18">
        <f>--AND(K165=1,L165=1,G165&gt;'Leia-me'!$C$11)</f>
        <v>0</v>
      </c>
      <c r="N165" s="18">
        <f>--AND(K165=1,F165="")</f>
        <v>0</v>
      </c>
      <c r="O165" s="18">
        <f>--AND(N165=1,G165&gt;'Leia-me'!$C$11)</f>
        <v>0</v>
      </c>
      <c r="P165" s="19">
        <f>IF(L165=1,G165,"")</f>
        <v>1.0</v>
      </c>
      <c r="Q165" s="11" t="s">
        <v>435</v>
      </c>
      <c r="R165" s="11"/>
    </row>
    <row r="166" spans="1:18" ht="32" customHeight="1">
      <c r="A166" s="9" t="s">
        <v>595</v>
      </c>
      <c r="B166" s="9" t="s">
        <v>68</v>
      </c>
      <c r="C166" s="9" t="s">
        <v>70</v>
      </c>
      <c r="D166" s="9" t="s">
        <v>69</v>
      </c>
      <c r="E166" s="6">
        <v>45723.375</v>
      </c>
      <c r="F166" s="6"/>
      <c r="G166" s="14">
        <f>IF(E166="","",IF(F166="",'Leia-me'!$C$10-E166,F166-E166))</f>
        <v>24.625</v>
      </c>
      <c r="H166" s="21" t="str">
        <f>IF(F166="",IF(G166&gt;'Leia-me'!$C$11,"Aberto vencido","Aberto no prazo"),IF(G166&gt;'Leia-me'!$C$11,"Fora do prazo","Dentro do prazo"))</f>
        <v>Aberto vencido</v>
      </c>
      <c r="I166" s="9" t="s">
        <v>71</v>
      </c>
      <c r="J166" s="9" t="s">
        <v>72</v>
      </c>
      <c r="K166" s="7">
        <f>--(Q166="valid")</f>
        <v>1</v>
      </c>
      <c r="L166" s="7">
        <f>--AND(K166=1,F166&lt;&gt;"")</f>
        <v>0</v>
      </c>
      <c r="M166" s="7">
        <f>--AND(K166=1,L166=1,G166&gt;'Leia-me'!$C$11)</f>
        <v>0</v>
      </c>
      <c r="N166" s="7">
        <f>--AND(K166=1,F166="")</f>
        <v>1</v>
      </c>
      <c r="O166" s="7">
        <f>--AND(N166=1,G166&gt;'Leia-me'!$C$11)</f>
        <v>1</v>
      </c>
      <c r="P166" s="16">
        <f>IF(L166=1,G166,"")</f>
        <v/>
      </c>
      <c r="Q166" s="9" t="s">
        <v>435</v>
      </c>
      <c r="R166" s="9"/>
    </row>
    <row r="167" spans="1:18" ht="32" customHeight="1">
      <c r="A167" s="11" t="s">
        <v>596</v>
      </c>
      <c r="B167" s="11" t="s">
        <v>111</v>
      </c>
      <c r="C167" s="11" t="s">
        <v>85</v>
      </c>
      <c r="D167" s="11" t="s">
        <v>112</v>
      </c>
      <c r="E167" s="12">
        <v>45724.375</v>
      </c>
      <c r="F167" s="12"/>
      <c r="G167" s="17">
        <f>IF(E167="","",IF(F167="",'Leia-me'!$C$10-E167,F167-E167))</f>
        <v>23.625</v>
      </c>
      <c r="H167" s="21" t="str">
        <f>IF(F167="",IF(G167&gt;'Leia-me'!$C$11,"Aberto vencido","Aberto no prazo"),IF(G167&gt;'Leia-me'!$C$11,"Fora do prazo","Dentro do prazo"))</f>
        <v>Aberto vencido</v>
      </c>
      <c r="I167" s="11" t="s">
        <v>113</v>
      </c>
      <c r="J167" s="11" t="s">
        <v>87</v>
      </c>
      <c r="K167" s="18">
        <f>--(Q167="valid")</f>
        <v>1</v>
      </c>
      <c r="L167" s="18">
        <f>--AND(K167=1,F167&lt;&gt;"")</f>
        <v>0</v>
      </c>
      <c r="M167" s="18">
        <f>--AND(K167=1,L167=1,G167&gt;'Leia-me'!$C$11)</f>
        <v>0</v>
      </c>
      <c r="N167" s="18">
        <f>--AND(K167=1,F167="")</f>
        <v>1</v>
      </c>
      <c r="O167" s="18">
        <f>--AND(N167=1,G167&gt;'Leia-me'!$C$11)</f>
        <v>1</v>
      </c>
      <c r="P167" s="19">
        <f>IF(L167=1,G167,"")</f>
        <v/>
      </c>
      <c r="Q167" s="11" t="s">
        <v>435</v>
      </c>
      <c r="R167" s="11"/>
    </row>
    <row r="168" spans="1:18" ht="32" customHeight="1">
      <c r="A168" s="9" t="s">
        <v>597</v>
      </c>
      <c r="B168" s="9" t="s">
        <v>143</v>
      </c>
      <c r="C168" s="9" t="s">
        <v>60</v>
      </c>
      <c r="D168" s="9" t="s">
        <v>59</v>
      </c>
      <c r="E168" s="6">
        <v>45725.375</v>
      </c>
      <c r="F168" s="6"/>
      <c r="G168" s="14">
        <f>IF(E168="","",IF(F168="",'Leia-me'!$C$10-E168,F168-E168))</f>
        <v>22.625</v>
      </c>
      <c r="H168" s="21" t="str">
        <f>IF(F168="",IF(G168&gt;'Leia-me'!$C$11,"Aberto vencido","Aberto no prazo"),IF(G168&gt;'Leia-me'!$C$11,"Fora do prazo","Dentro do prazo"))</f>
        <v>Aberto vencido</v>
      </c>
      <c r="I168" s="9" t="s">
        <v>144</v>
      </c>
      <c r="J168" s="9" t="s">
        <v>62</v>
      </c>
      <c r="K168" s="7">
        <f>--(Q168="valid")</f>
        <v>1</v>
      </c>
      <c r="L168" s="7">
        <f>--AND(K168=1,F168&lt;&gt;"")</f>
        <v>0</v>
      </c>
      <c r="M168" s="7">
        <f>--AND(K168=1,L168=1,G168&gt;'Leia-me'!$C$11)</f>
        <v>0</v>
      </c>
      <c r="N168" s="7">
        <f>--AND(K168=1,F168="")</f>
        <v>1</v>
      </c>
      <c r="O168" s="7">
        <f>--AND(N168=1,G168&gt;'Leia-me'!$C$11)</f>
        <v>1</v>
      </c>
      <c r="P168" s="16">
        <f>IF(L168=1,G168,"")</f>
        <v/>
      </c>
      <c r="Q168" s="9" t="s">
        <v>435</v>
      </c>
      <c r="R168" s="9"/>
    </row>
    <row r="169" spans="1:18" ht="32" customHeight="1">
      <c r="A169" s="11" t="s">
        <v>598</v>
      </c>
      <c r="B169" s="11" t="s">
        <v>165</v>
      </c>
      <c r="C169" s="11" t="s">
        <v>75</v>
      </c>
      <c r="D169" s="11" t="s">
        <v>106</v>
      </c>
      <c r="E169" s="12">
        <v>45726.375</v>
      </c>
      <c r="F169" s="12"/>
      <c r="G169" s="17">
        <f>IF(E169="","",IF(F169="",'Leia-me'!$C$10-E169,F169-E169))</f>
        <v>21.625</v>
      </c>
      <c r="H169" s="21" t="str">
        <f>IF(F169="",IF(G169&gt;'Leia-me'!$C$11,"Aberto vencido","Aberto no prazo"),IF(G169&gt;'Leia-me'!$C$11,"Fora do prazo","Dentro do prazo"))</f>
        <v>Aberto vencido</v>
      </c>
      <c r="I169" s="11" t="s">
        <v>166</v>
      </c>
      <c r="J169" s="11" t="s">
        <v>77</v>
      </c>
      <c r="K169" s="18">
        <f>--(Q169="valid")</f>
        <v>1</v>
      </c>
      <c r="L169" s="18">
        <f>--AND(K169=1,F169&lt;&gt;"")</f>
        <v>0</v>
      </c>
      <c r="M169" s="18">
        <f>--AND(K169=1,L169=1,G169&gt;'Leia-me'!$C$11)</f>
        <v>0</v>
      </c>
      <c r="N169" s="18">
        <f>--AND(K169=1,F169="")</f>
        <v>1</v>
      </c>
      <c r="O169" s="18">
        <f>--AND(N169=1,G169&gt;'Leia-me'!$C$11)</f>
        <v>1</v>
      </c>
      <c r="P169" s="19">
        <f>IF(L169=1,G169,"")</f>
        <v/>
      </c>
      <c r="Q169" s="11" t="s">
        <v>435</v>
      </c>
      <c r="R169" s="11"/>
    </row>
    <row r="170" spans="1:18" ht="32" customHeight="1">
      <c r="A170" s="9" t="s">
        <v>599</v>
      </c>
      <c r="B170" s="9" t="s">
        <v>189</v>
      </c>
      <c r="C170" s="9" t="s">
        <v>90</v>
      </c>
      <c r="D170" s="9" t="s">
        <v>139</v>
      </c>
      <c r="E170" s="6">
        <v>45727.375</v>
      </c>
      <c r="F170" s="6"/>
      <c r="G170" s="14">
        <f>IF(E170="","",IF(F170="",'Leia-me'!$C$10-E170,F170-E170))</f>
        <v>20.625</v>
      </c>
      <c r="H170" s="21" t="str">
        <f>IF(F170="",IF(G170&gt;'Leia-me'!$C$11,"Aberto vencido","Aberto no prazo"),IF(G170&gt;'Leia-me'!$C$11,"Fora do prazo","Dentro do prazo"))</f>
        <v>Aberto vencido</v>
      </c>
      <c r="I170" s="9" t="s">
        <v>190</v>
      </c>
      <c r="J170" s="9" t="s">
        <v>92</v>
      </c>
      <c r="K170" s="7">
        <f>--(Q170="valid")</f>
        <v>1</v>
      </c>
      <c r="L170" s="7">
        <f>--AND(K170=1,F170&lt;&gt;"")</f>
        <v>0</v>
      </c>
      <c r="M170" s="7">
        <f>--AND(K170=1,L170=1,G170&gt;'Leia-me'!$C$11)</f>
        <v>0</v>
      </c>
      <c r="N170" s="7">
        <f>--AND(K170=1,F170="")</f>
        <v>1</v>
      </c>
      <c r="O170" s="7">
        <f>--AND(N170=1,G170&gt;'Leia-me'!$C$11)</f>
        <v>1</v>
      </c>
      <c r="P170" s="16">
        <f>IF(L170=1,G170,"")</f>
        <v/>
      </c>
      <c r="Q170" s="9" t="s">
        <v>435</v>
      </c>
      <c r="R170" s="9"/>
    </row>
    <row r="171" spans="1:18" ht="32" customHeight="1">
      <c r="A171" s="11" t="s">
        <v>600</v>
      </c>
      <c r="B171" s="11" t="s">
        <v>211</v>
      </c>
      <c r="C171" s="11" t="s">
        <v>65</v>
      </c>
      <c r="D171" s="11" t="s">
        <v>100</v>
      </c>
      <c r="E171" s="12">
        <v>45728.375</v>
      </c>
      <c r="F171" s="12"/>
      <c r="G171" s="17">
        <f>IF(E171="","",IF(F171="",'Leia-me'!$C$10-E171,F171-E171))</f>
        <v>19.625</v>
      </c>
      <c r="H171" s="21" t="str">
        <f>IF(F171="",IF(G171&gt;'Leia-me'!$C$11,"Aberto vencido","Aberto no prazo"),IF(G171&gt;'Leia-me'!$C$11,"Fora do prazo","Dentro do prazo"))</f>
        <v>Aberto vencido</v>
      </c>
      <c r="I171" s="11" t="s">
        <v>212</v>
      </c>
      <c r="J171" s="11" t="s">
        <v>67</v>
      </c>
      <c r="K171" s="18">
        <f>--(Q171="valid")</f>
        <v>1</v>
      </c>
      <c r="L171" s="18">
        <f>--AND(K171=1,F171&lt;&gt;"")</f>
        <v>0</v>
      </c>
      <c r="M171" s="18">
        <f>--AND(K171=1,L171=1,G171&gt;'Leia-me'!$C$11)</f>
        <v>0</v>
      </c>
      <c r="N171" s="18">
        <f>--AND(K171=1,F171="")</f>
        <v>1</v>
      </c>
      <c r="O171" s="18">
        <f>--AND(N171=1,G171&gt;'Leia-me'!$C$11)</f>
        <v>1</v>
      </c>
      <c r="P171" s="19">
        <f>IF(L171=1,G171,"")</f>
        <v/>
      </c>
      <c r="Q171" s="11" t="s">
        <v>435</v>
      </c>
      <c r="R171" s="11"/>
    </row>
    <row r="172" spans="1:18" ht="32" customHeight="1">
      <c r="A172" s="9" t="s">
        <v>601</v>
      </c>
      <c r="B172" s="9" t="s">
        <v>233</v>
      </c>
      <c r="C172" s="9" t="s">
        <v>80</v>
      </c>
      <c r="D172" s="9" t="s">
        <v>133</v>
      </c>
      <c r="E172" s="6">
        <v>45729.375</v>
      </c>
      <c r="F172" s="6"/>
      <c r="G172" s="14">
        <f>IF(E172="","",IF(F172="",'Leia-me'!$C$10-E172,F172-E172))</f>
        <v>18.625</v>
      </c>
      <c r="H172" s="21" t="str">
        <f>IF(F172="",IF(G172&gt;'Leia-me'!$C$11,"Aberto vencido","Aberto no prazo"),IF(G172&gt;'Leia-me'!$C$11,"Fora do prazo","Dentro do prazo"))</f>
        <v>Aberto vencido</v>
      </c>
      <c r="I172" s="9" t="s">
        <v>234</v>
      </c>
      <c r="J172" s="9" t="s">
        <v>82</v>
      </c>
      <c r="K172" s="7">
        <f>--(Q172="valid")</f>
        <v>1</v>
      </c>
      <c r="L172" s="7">
        <f>--AND(K172=1,F172&lt;&gt;"")</f>
        <v>0</v>
      </c>
      <c r="M172" s="7">
        <f>--AND(K172=1,L172=1,G172&gt;'Leia-me'!$C$11)</f>
        <v>0</v>
      </c>
      <c r="N172" s="7">
        <f>--AND(K172=1,F172="")</f>
        <v>1</v>
      </c>
      <c r="O172" s="7">
        <f>--AND(N172=1,G172&gt;'Leia-me'!$C$11)</f>
        <v>1</v>
      </c>
      <c r="P172" s="16">
        <f>IF(L172=1,G172,"")</f>
        <v/>
      </c>
      <c r="Q172" s="9" t="s">
        <v>435</v>
      </c>
      <c r="R172" s="9"/>
    </row>
    <row r="173" spans="1:18" ht="32" customHeight="1">
      <c r="A173" s="11" t="s">
        <v>602</v>
      </c>
      <c r="B173" s="11" t="s">
        <v>255</v>
      </c>
      <c r="C173" s="11" t="s">
        <v>50</v>
      </c>
      <c r="D173" s="11" t="s">
        <v>94</v>
      </c>
      <c r="E173" s="12">
        <v>45730.375</v>
      </c>
      <c r="F173" s="12"/>
      <c r="G173" s="17">
        <f>IF(E173="","",IF(F173="",'Leia-me'!$C$10-E173,F173-E173))</f>
        <v>17.625</v>
      </c>
      <c r="H173" s="21" t="str">
        <f>IF(F173="",IF(G173&gt;'Leia-me'!$C$11,"Aberto vencido","Aberto no prazo"),IF(G173&gt;'Leia-me'!$C$11,"Fora do prazo","Dentro do prazo"))</f>
        <v>Aberto vencido</v>
      </c>
      <c r="I173" s="11" t="s">
        <v>256</v>
      </c>
      <c r="J173" s="11" t="s">
        <v>56</v>
      </c>
      <c r="K173" s="18">
        <f>--(Q173="valid")</f>
        <v>1</v>
      </c>
      <c r="L173" s="18">
        <f>--AND(K173=1,F173&lt;&gt;"")</f>
        <v>0</v>
      </c>
      <c r="M173" s="18">
        <f>--AND(K173=1,L173=1,G173&gt;'Leia-me'!$C$11)</f>
        <v>0</v>
      </c>
      <c r="N173" s="18">
        <f>--AND(K173=1,F173="")</f>
        <v>1</v>
      </c>
      <c r="O173" s="18">
        <f>--AND(N173=1,G173&gt;'Leia-me'!$C$11)</f>
        <v>1</v>
      </c>
      <c r="P173" s="19">
        <f>IF(L173=1,G173,"")</f>
        <v/>
      </c>
      <c r="Q173" s="11" t="s">
        <v>435</v>
      </c>
      <c r="R173" s="11"/>
    </row>
    <row r="174" spans="1:18" ht="32" customHeight="1">
      <c r="A174" s="9" t="s">
        <v>603</v>
      </c>
      <c r="B174" s="9" t="s">
        <v>279</v>
      </c>
      <c r="C174" s="9" t="s">
        <v>70</v>
      </c>
      <c r="D174" s="9" t="s">
        <v>127</v>
      </c>
      <c r="E174" s="6">
        <v>45731.375</v>
      </c>
      <c r="F174" s="6"/>
      <c r="G174" s="14">
        <f>IF(E174="","",IF(F174="",'Leia-me'!$C$10-E174,F174-E174))</f>
        <v>16.625</v>
      </c>
      <c r="H174" s="21" t="str">
        <f>IF(F174="",IF(G174&gt;'Leia-me'!$C$11,"Aberto vencido","Aberto no prazo"),IF(G174&gt;'Leia-me'!$C$11,"Fora do prazo","Dentro do prazo"))</f>
        <v>Aberto vencido</v>
      </c>
      <c r="I174" s="9" t="s">
        <v>280</v>
      </c>
      <c r="J174" s="9" t="s">
        <v>72</v>
      </c>
      <c r="K174" s="7">
        <f>--(Q174="valid")</f>
        <v>1</v>
      </c>
      <c r="L174" s="7">
        <f>--AND(K174=1,F174&lt;&gt;"")</f>
        <v>0</v>
      </c>
      <c r="M174" s="7">
        <f>--AND(K174=1,L174=1,G174&gt;'Leia-me'!$C$11)</f>
        <v>0</v>
      </c>
      <c r="N174" s="7">
        <f>--AND(K174=1,F174="")</f>
        <v>1</v>
      </c>
      <c r="O174" s="7">
        <f>--AND(N174=1,G174&gt;'Leia-me'!$C$11)</f>
        <v>1</v>
      </c>
      <c r="P174" s="16">
        <f>IF(L174=1,G174,"")</f>
        <v/>
      </c>
      <c r="Q174" s="9" t="s">
        <v>435</v>
      </c>
      <c r="R174" s="9"/>
    </row>
    <row r="175" spans="1:18" ht="32" customHeight="1">
      <c r="A175" s="11" t="s">
        <v>604</v>
      </c>
      <c r="B175" s="11" t="s">
        <v>301</v>
      </c>
      <c r="C175" s="11" t="s">
        <v>85</v>
      </c>
      <c r="D175" s="11" t="s">
        <v>84</v>
      </c>
      <c r="E175" s="12">
        <v>45732.375</v>
      </c>
      <c r="F175" s="12"/>
      <c r="G175" s="17">
        <f>IF(E175="","",IF(F175="",'Leia-me'!$C$10-E175,F175-E175))</f>
        <v>15.625</v>
      </c>
      <c r="H175" s="21" t="str">
        <f>IF(F175="",IF(G175&gt;'Leia-me'!$C$11,"Aberto vencido","Aberto no prazo"),IF(G175&gt;'Leia-me'!$C$11,"Fora do prazo","Dentro do prazo"))</f>
        <v>Aberto vencido</v>
      </c>
      <c r="I175" s="11" t="s">
        <v>302</v>
      </c>
      <c r="J175" s="11" t="s">
        <v>87</v>
      </c>
      <c r="K175" s="18">
        <f>--(Q175="valid")</f>
        <v>1</v>
      </c>
      <c r="L175" s="18">
        <f>--AND(K175=1,F175&lt;&gt;"")</f>
        <v>0</v>
      </c>
      <c r="M175" s="18">
        <f>--AND(K175=1,L175=1,G175&gt;'Leia-me'!$C$11)</f>
        <v>0</v>
      </c>
      <c r="N175" s="18">
        <f>--AND(K175=1,F175="")</f>
        <v>1</v>
      </c>
      <c r="O175" s="18">
        <f>--AND(N175=1,G175&gt;'Leia-me'!$C$11)</f>
        <v>1</v>
      </c>
      <c r="P175" s="19">
        <f>IF(L175=1,G175,"")</f>
        <v/>
      </c>
      <c r="Q175" s="11" t="s">
        <v>435</v>
      </c>
      <c r="R175" s="11"/>
    </row>
    <row r="176" spans="1:18" ht="32" customHeight="1">
      <c r="A176" s="9" t="s">
        <v>605</v>
      </c>
      <c r="B176" s="9" t="s">
        <v>323</v>
      </c>
      <c r="C176" s="9" t="s">
        <v>60</v>
      </c>
      <c r="D176" s="9" t="s">
        <v>121</v>
      </c>
      <c r="E176" s="6">
        <v>45723.375</v>
      </c>
      <c r="F176" s="6"/>
      <c r="G176" s="14">
        <f>IF(E176="","",IF(F176="",'Leia-me'!$C$10-E176,F176-E176))</f>
        <v>24.625</v>
      </c>
      <c r="H176" s="21" t="str">
        <f>IF(F176="",IF(G176&gt;'Leia-me'!$C$11,"Aberto vencido","Aberto no prazo"),IF(G176&gt;'Leia-me'!$C$11,"Fora do prazo","Dentro do prazo"))</f>
        <v>Aberto vencido</v>
      </c>
      <c r="I176" s="9" t="s">
        <v>324</v>
      </c>
      <c r="J176" s="9" t="s">
        <v>62</v>
      </c>
      <c r="K176" s="7">
        <f>--(Q176="valid")</f>
        <v>1</v>
      </c>
      <c r="L176" s="7">
        <f>--AND(K176=1,F176&lt;&gt;"")</f>
        <v>0</v>
      </c>
      <c r="M176" s="7">
        <f>--AND(K176=1,L176=1,G176&gt;'Leia-me'!$C$11)</f>
        <v>0</v>
      </c>
      <c r="N176" s="7">
        <f>--AND(K176=1,F176="")</f>
        <v>1</v>
      </c>
      <c r="O176" s="7">
        <f>--AND(N176=1,G176&gt;'Leia-me'!$C$11)</f>
        <v>1</v>
      </c>
      <c r="P176" s="16">
        <f>IF(L176=1,G176,"")</f>
        <v/>
      </c>
      <c r="Q176" s="9" t="s">
        <v>435</v>
      </c>
      <c r="R176" s="9"/>
    </row>
    <row r="177" spans="1:18" ht="32" customHeight="1">
      <c r="A177" s="11" t="s">
        <v>606</v>
      </c>
      <c r="B177" s="11" t="s">
        <v>345</v>
      </c>
      <c r="C177" s="11" t="s">
        <v>75</v>
      </c>
      <c r="D177" s="11" t="s">
        <v>74</v>
      </c>
      <c r="E177" s="12">
        <v>45724.375</v>
      </c>
      <c r="F177" s="12"/>
      <c r="G177" s="17">
        <f>IF(E177="","",IF(F177="",'Leia-me'!$C$10-E177,F177-E177))</f>
        <v>23.625</v>
      </c>
      <c r="H177" s="21" t="str">
        <f>IF(F177="",IF(G177&gt;'Leia-me'!$C$11,"Aberto vencido","Aberto no prazo"),IF(G177&gt;'Leia-me'!$C$11,"Fora do prazo","Dentro do prazo"))</f>
        <v>Aberto vencido</v>
      </c>
      <c r="I177" s="11" t="s">
        <v>346</v>
      </c>
      <c r="J177" s="11" t="s">
        <v>77</v>
      </c>
      <c r="K177" s="18">
        <f>--(Q177="valid")</f>
        <v>1</v>
      </c>
      <c r="L177" s="18">
        <f>--AND(K177=1,F177&lt;&gt;"")</f>
        <v>0</v>
      </c>
      <c r="M177" s="18">
        <f>--AND(K177=1,L177=1,G177&gt;'Leia-me'!$C$11)</f>
        <v>0</v>
      </c>
      <c r="N177" s="18">
        <f>--AND(K177=1,F177="")</f>
        <v>1</v>
      </c>
      <c r="O177" s="18">
        <f>--AND(N177=1,G177&gt;'Leia-me'!$C$11)</f>
        <v>1</v>
      </c>
      <c r="P177" s="19">
        <f>IF(L177=1,G177,"")</f>
        <v/>
      </c>
      <c r="Q177" s="11" t="s">
        <v>435</v>
      </c>
      <c r="R177" s="11"/>
    </row>
    <row r="178" spans="1:18" ht="32" customHeight="1">
      <c r="A178" s="9" t="s">
        <v>607</v>
      </c>
      <c r="B178" s="9" t="s">
        <v>78</v>
      </c>
      <c r="C178" s="9" t="s">
        <v>80</v>
      </c>
      <c r="D178" s="9" t="s">
        <v>79</v>
      </c>
      <c r="E178" s="6">
        <v>45745.375</v>
      </c>
      <c r="F178" s="6"/>
      <c r="G178" s="14">
        <f>IF(E178="","",IF(F178="",'Leia-me'!$C$10-E178,F178-E178))</f>
        <v>2.625</v>
      </c>
      <c r="H178" s="22" t="str">
        <f>IF(F178="",IF(G178&gt;'Leia-me'!$C$11,"Aberto vencido","Aberto no prazo"),IF(G178&gt;'Leia-me'!$C$11,"Fora do prazo","Dentro do prazo"))</f>
        <v>Aberto no prazo</v>
      </c>
      <c r="I178" s="9" t="s">
        <v>81</v>
      </c>
      <c r="J178" s="9" t="s">
        <v>82</v>
      </c>
      <c r="K178" s="7">
        <f>--(Q178="valid")</f>
        <v>1</v>
      </c>
      <c r="L178" s="7">
        <f>--AND(K178=1,F178&lt;&gt;"")</f>
        <v>0</v>
      </c>
      <c r="M178" s="7">
        <f>--AND(K178=1,L178=1,G178&gt;'Leia-me'!$C$11)</f>
        <v>0</v>
      </c>
      <c r="N178" s="7">
        <f>--AND(K178=1,F178="")</f>
        <v>1</v>
      </c>
      <c r="O178" s="7">
        <f>--AND(N178=1,G178&gt;'Leia-me'!$C$11)</f>
        <v>0</v>
      </c>
      <c r="P178" s="16">
        <f>IF(L178=1,G178,"")</f>
        <v/>
      </c>
      <c r="Q178" s="9" t="s">
        <v>435</v>
      </c>
      <c r="R178" s="9"/>
    </row>
    <row r="179" spans="1:18" ht="32" customHeight="1">
      <c r="A179" s="11" t="s">
        <v>608</v>
      </c>
      <c r="B179" s="11" t="s">
        <v>117</v>
      </c>
      <c r="C179" s="11" t="s">
        <v>50</v>
      </c>
      <c r="D179" s="11" t="s">
        <v>118</v>
      </c>
      <c r="E179" s="12">
        <v>45746.375</v>
      </c>
      <c r="F179" s="12"/>
      <c r="G179" s="17">
        <f>IF(E179="","",IF(F179="",'Leia-me'!$C$10-E179,F179-E179))</f>
        <v>1.625</v>
      </c>
      <c r="H179" s="22" t="str">
        <f>IF(F179="",IF(G179&gt;'Leia-me'!$C$11,"Aberto vencido","Aberto no prazo"),IF(G179&gt;'Leia-me'!$C$11,"Fora do prazo","Dentro do prazo"))</f>
        <v>Aberto no prazo</v>
      </c>
      <c r="I179" s="11" t="s">
        <v>119</v>
      </c>
      <c r="J179" s="11" t="s">
        <v>56</v>
      </c>
      <c r="K179" s="18">
        <f>--(Q179="valid")</f>
        <v>1</v>
      </c>
      <c r="L179" s="18">
        <f>--AND(K179=1,F179&lt;&gt;"")</f>
        <v>0</v>
      </c>
      <c r="M179" s="18">
        <f>--AND(K179=1,L179=1,G179&gt;'Leia-me'!$C$11)</f>
        <v>0</v>
      </c>
      <c r="N179" s="18">
        <f>--AND(K179=1,F179="")</f>
        <v>1</v>
      </c>
      <c r="O179" s="18">
        <f>--AND(N179=1,G179&gt;'Leia-me'!$C$11)</f>
        <v>0</v>
      </c>
      <c r="P179" s="19">
        <f>IF(L179=1,G179,"")</f>
        <v/>
      </c>
      <c r="Q179" s="11" t="s">
        <v>435</v>
      </c>
      <c r="R179" s="11"/>
    </row>
    <row r="180" spans="1:18" ht="32" customHeight="1">
      <c r="A180" s="9" t="s">
        <v>609</v>
      </c>
      <c r="B180" s="9" t="s">
        <v>147</v>
      </c>
      <c r="C180" s="9" t="s">
        <v>70</v>
      </c>
      <c r="D180" s="9" t="s">
        <v>69</v>
      </c>
      <c r="E180" s="6">
        <v>45747.375</v>
      </c>
      <c r="F180" s="6"/>
      <c r="G180" s="14">
        <f>IF(E180="","",IF(F180="",'Leia-me'!$C$10-E180,F180-E180))</f>
        <v>0.625</v>
      </c>
      <c r="H180" s="22" t="str">
        <f>IF(F180="",IF(G180&gt;'Leia-me'!$C$11,"Aberto vencido","Aberto no prazo"),IF(G180&gt;'Leia-me'!$C$11,"Fora do prazo","Dentro do prazo"))</f>
        <v>Aberto no prazo</v>
      </c>
      <c r="I180" s="9" t="s">
        <v>148</v>
      </c>
      <c r="J180" s="9" t="s">
        <v>72</v>
      </c>
      <c r="K180" s="7">
        <f>--(Q180="valid")</f>
        <v>1</v>
      </c>
      <c r="L180" s="7">
        <f>--AND(K180=1,F180&lt;&gt;"")</f>
        <v>0</v>
      </c>
      <c r="M180" s="7">
        <f>--AND(K180=1,L180=1,G180&gt;'Leia-me'!$C$11)</f>
        <v>0</v>
      </c>
      <c r="N180" s="7">
        <f>--AND(K180=1,F180="")</f>
        <v>1</v>
      </c>
      <c r="O180" s="7">
        <f>--AND(N180=1,G180&gt;'Leia-me'!$C$11)</f>
        <v>0</v>
      </c>
      <c r="P180" s="16">
        <f>IF(L180=1,G180,"")</f>
        <v/>
      </c>
      <c r="Q180" s="9" t="s">
        <v>435</v>
      </c>
      <c r="R180" s="9"/>
    </row>
    <row r="181" spans="1:18" ht="32" customHeight="1">
      <c r="A181" s="11" t="s">
        <v>610</v>
      </c>
      <c r="B181" s="11" t="s">
        <v>169</v>
      </c>
      <c r="C181" s="11" t="s">
        <v>85</v>
      </c>
      <c r="D181" s="11" t="s">
        <v>112</v>
      </c>
      <c r="E181" s="12">
        <v>45745.375</v>
      </c>
      <c r="F181" s="12"/>
      <c r="G181" s="17">
        <f>IF(E181="","",IF(F181="",'Leia-me'!$C$10-E181,F181-E181))</f>
        <v>2.625</v>
      </c>
      <c r="H181" s="22" t="str">
        <f>IF(F181="",IF(G181&gt;'Leia-me'!$C$11,"Aberto vencido","Aberto no prazo"),IF(G181&gt;'Leia-me'!$C$11,"Fora do prazo","Dentro do prazo"))</f>
        <v>Aberto no prazo</v>
      </c>
      <c r="I181" s="11" t="s">
        <v>170</v>
      </c>
      <c r="J181" s="11" t="s">
        <v>87</v>
      </c>
      <c r="K181" s="18">
        <f>--(Q181="valid")</f>
        <v>1</v>
      </c>
      <c r="L181" s="18">
        <f>--AND(K181=1,F181&lt;&gt;"")</f>
        <v>0</v>
      </c>
      <c r="M181" s="18">
        <f>--AND(K181=1,L181=1,G181&gt;'Leia-me'!$C$11)</f>
        <v>0</v>
      </c>
      <c r="N181" s="18">
        <f>--AND(K181=1,F181="")</f>
        <v>1</v>
      </c>
      <c r="O181" s="18">
        <f>--AND(N181=1,G181&gt;'Leia-me'!$C$11)</f>
        <v>0</v>
      </c>
      <c r="P181" s="19">
        <f>IF(L181=1,G181,"")</f>
        <v/>
      </c>
      <c r="Q181" s="11" t="s">
        <v>435</v>
      </c>
      <c r="R181" s="11"/>
    </row>
    <row r="182" spans="1:18" ht="32" customHeight="1">
      <c r="A182" s="9" t="s">
        <v>611</v>
      </c>
      <c r="B182" s="9" t="s">
        <v>193</v>
      </c>
      <c r="C182" s="9" t="s">
        <v>60</v>
      </c>
      <c r="D182" s="9" t="s">
        <v>59</v>
      </c>
      <c r="E182" s="6">
        <v>45746.375</v>
      </c>
      <c r="F182" s="6"/>
      <c r="G182" s="14">
        <f>IF(E182="","",IF(F182="",'Leia-me'!$C$10-E182,F182-E182))</f>
        <v>1.625</v>
      </c>
      <c r="H182" s="22" t="str">
        <f>IF(F182="",IF(G182&gt;'Leia-me'!$C$11,"Aberto vencido","Aberto no prazo"),IF(G182&gt;'Leia-me'!$C$11,"Fora do prazo","Dentro do prazo"))</f>
        <v>Aberto no prazo</v>
      </c>
      <c r="I182" s="9" t="s">
        <v>194</v>
      </c>
      <c r="J182" s="9" t="s">
        <v>62</v>
      </c>
      <c r="K182" s="7">
        <f>--(Q182="valid")</f>
        <v>1</v>
      </c>
      <c r="L182" s="7">
        <f>--AND(K182=1,F182&lt;&gt;"")</f>
        <v>0</v>
      </c>
      <c r="M182" s="7">
        <f>--AND(K182=1,L182=1,G182&gt;'Leia-me'!$C$11)</f>
        <v>0</v>
      </c>
      <c r="N182" s="7">
        <f>--AND(K182=1,F182="")</f>
        <v>1</v>
      </c>
      <c r="O182" s="7">
        <f>--AND(N182=1,G182&gt;'Leia-me'!$C$11)</f>
        <v>0</v>
      </c>
      <c r="P182" s="16">
        <f>IF(L182=1,G182,"")</f>
        <v/>
      </c>
      <c r="Q182" s="9" t="s">
        <v>435</v>
      </c>
      <c r="R182" s="9"/>
    </row>
    <row r="183" spans="1:18" ht="32" customHeight="1">
      <c r="A183" s="11" t="s">
        <v>612</v>
      </c>
      <c r="B183" s="11" t="s">
        <v>215</v>
      </c>
      <c r="C183" s="11" t="s">
        <v>75</v>
      </c>
      <c r="D183" s="11" t="s">
        <v>106</v>
      </c>
      <c r="E183" s="12">
        <v>45747.375</v>
      </c>
      <c r="F183" s="12"/>
      <c r="G183" s="17">
        <f>IF(E183="","",IF(F183="",'Leia-me'!$C$10-E183,F183-E183))</f>
        <v>0.625</v>
      </c>
      <c r="H183" s="22" t="str">
        <f>IF(F183="",IF(G183&gt;'Leia-me'!$C$11,"Aberto vencido","Aberto no prazo"),IF(G183&gt;'Leia-me'!$C$11,"Fora do prazo","Dentro do prazo"))</f>
        <v>Aberto no prazo</v>
      </c>
      <c r="I183" s="11" t="s">
        <v>216</v>
      </c>
      <c r="J183" s="11" t="s">
        <v>77</v>
      </c>
      <c r="K183" s="18">
        <f>--(Q183="valid")</f>
        <v>1</v>
      </c>
      <c r="L183" s="18">
        <f>--AND(K183=1,F183&lt;&gt;"")</f>
        <v>0</v>
      </c>
      <c r="M183" s="18">
        <f>--AND(K183=1,L183=1,G183&gt;'Leia-me'!$C$11)</f>
        <v>0</v>
      </c>
      <c r="N183" s="18">
        <f>--AND(K183=1,F183="")</f>
        <v>1</v>
      </c>
      <c r="O183" s="18">
        <f>--AND(N183=1,G183&gt;'Leia-me'!$C$11)</f>
        <v>0</v>
      </c>
      <c r="P183" s="19">
        <f>IF(L183=1,G183,"")</f>
        <v/>
      </c>
      <c r="Q183" s="11" t="s">
        <v>435</v>
      </c>
      <c r="R183" s="11"/>
    </row>
    <row r="184" spans="1:18" ht="32" customHeight="1">
      <c r="A184" s="9" t="s">
        <v>613</v>
      </c>
      <c r="B184" s="9" t="s">
        <v>237</v>
      </c>
      <c r="C184" s="9" t="s">
        <v>90</v>
      </c>
      <c r="D184" s="9" t="s">
        <v>139</v>
      </c>
      <c r="E184" s="6">
        <v>45745.375</v>
      </c>
      <c r="F184" s="6"/>
      <c r="G184" s="14">
        <f>IF(E184="","",IF(F184="",'Leia-me'!$C$10-E184,F184-E184))</f>
        <v>2.625</v>
      </c>
      <c r="H184" s="22" t="str">
        <f>IF(F184="",IF(G184&gt;'Leia-me'!$C$11,"Aberto vencido","Aberto no prazo"),IF(G184&gt;'Leia-me'!$C$11,"Fora do prazo","Dentro do prazo"))</f>
        <v>Aberto no prazo</v>
      </c>
      <c r="I184" s="9" t="s">
        <v>238</v>
      </c>
      <c r="J184" s="9" t="s">
        <v>92</v>
      </c>
      <c r="K184" s="7">
        <f>--(Q184="valid")</f>
        <v>1</v>
      </c>
      <c r="L184" s="7">
        <f>--AND(K184=1,F184&lt;&gt;"")</f>
        <v>0</v>
      </c>
      <c r="M184" s="7">
        <f>--AND(K184=1,L184=1,G184&gt;'Leia-me'!$C$11)</f>
        <v>0</v>
      </c>
      <c r="N184" s="7">
        <f>--AND(K184=1,F184="")</f>
        <v>1</v>
      </c>
      <c r="O184" s="7">
        <f>--AND(N184=1,G184&gt;'Leia-me'!$C$11)</f>
        <v>0</v>
      </c>
      <c r="P184" s="16">
        <f>IF(L184=1,G184,"")</f>
        <v/>
      </c>
      <c r="Q184" s="9" t="s">
        <v>435</v>
      </c>
      <c r="R184" s="9"/>
    </row>
    <row r="185" spans="1:18" ht="32" customHeight="1">
      <c r="A185" s="11" t="s">
        <v>614</v>
      </c>
      <c r="B185" s="11" t="s">
        <v>259</v>
      </c>
      <c r="C185" s="11" t="s">
        <v>65</v>
      </c>
      <c r="D185" s="11" t="s">
        <v>100</v>
      </c>
      <c r="E185" s="12">
        <v>45746.375</v>
      </c>
      <c r="F185" s="12"/>
      <c r="G185" s="17">
        <f>IF(E185="","",IF(F185="",'Leia-me'!$C$10-E185,F185-E185))</f>
        <v>1.625</v>
      </c>
      <c r="H185" s="22" t="str">
        <f>IF(F185="",IF(G185&gt;'Leia-me'!$C$11,"Aberto vencido","Aberto no prazo"),IF(G185&gt;'Leia-me'!$C$11,"Fora do prazo","Dentro do prazo"))</f>
        <v>Aberto no prazo</v>
      </c>
      <c r="I185" s="11" t="s">
        <v>260</v>
      </c>
      <c r="J185" s="11" t="s">
        <v>67</v>
      </c>
      <c r="K185" s="18">
        <f>--(Q185="valid")</f>
        <v>1</v>
      </c>
      <c r="L185" s="18">
        <f>--AND(K185=1,F185&lt;&gt;"")</f>
        <v>0</v>
      </c>
      <c r="M185" s="18">
        <f>--AND(K185=1,L185=1,G185&gt;'Leia-me'!$C$11)</f>
        <v>0</v>
      </c>
      <c r="N185" s="18">
        <f>--AND(K185=1,F185="")</f>
        <v>1</v>
      </c>
      <c r="O185" s="18">
        <f>--AND(N185=1,G185&gt;'Leia-me'!$C$11)</f>
        <v>0</v>
      </c>
      <c r="P185" s="19">
        <f>IF(L185=1,G185,"")</f>
        <v/>
      </c>
      <c r="Q185" s="11" t="s">
        <v>435</v>
      </c>
      <c r="R185" s="11"/>
    </row>
    <row r="186" spans="1:18" ht="32" customHeight="1">
      <c r="A186" s="9" t="s">
        <v>615</v>
      </c>
      <c r="B186" s="9" t="s">
        <v>283</v>
      </c>
      <c r="C186" s="9" t="s">
        <v>80</v>
      </c>
      <c r="D186" s="9" t="s">
        <v>133</v>
      </c>
      <c r="E186" s="6">
        <v>45747.375</v>
      </c>
      <c r="F186" s="6"/>
      <c r="G186" s="14">
        <f>IF(E186="","",IF(F186="",'Leia-me'!$C$10-E186,F186-E186))</f>
        <v>0.625</v>
      </c>
      <c r="H186" s="22" t="str">
        <f>IF(F186="",IF(G186&gt;'Leia-me'!$C$11,"Aberto vencido","Aberto no prazo"),IF(G186&gt;'Leia-me'!$C$11,"Fora do prazo","Dentro do prazo"))</f>
        <v>Aberto no prazo</v>
      </c>
      <c r="I186" s="9" t="s">
        <v>284</v>
      </c>
      <c r="J186" s="9" t="s">
        <v>82</v>
      </c>
      <c r="K186" s="7">
        <f>--(Q186="valid")</f>
        <v>1</v>
      </c>
      <c r="L186" s="7">
        <f>--AND(K186=1,F186&lt;&gt;"")</f>
        <v>0</v>
      </c>
      <c r="M186" s="7">
        <f>--AND(K186=1,L186=1,G186&gt;'Leia-me'!$C$11)</f>
        <v>0</v>
      </c>
      <c r="N186" s="7">
        <f>--AND(K186=1,F186="")</f>
        <v>1</v>
      </c>
      <c r="O186" s="7">
        <f>--AND(N186=1,G186&gt;'Leia-me'!$C$11)</f>
        <v>0</v>
      </c>
      <c r="P186" s="16">
        <f>IF(L186=1,G186,"")</f>
        <v/>
      </c>
      <c r="Q186" s="9" t="s">
        <v>435</v>
      </c>
      <c r="R186" s="9"/>
    </row>
    <row r="187" spans="1:18" ht="32" customHeight="1">
      <c r="A187" s="11" t="s">
        <v>616</v>
      </c>
      <c r="B187" s="11" t="s">
        <v>305</v>
      </c>
      <c r="C187" s="11" t="s">
        <v>50</v>
      </c>
      <c r="D187" s="11" t="s">
        <v>94</v>
      </c>
      <c r="E187" s="12">
        <v>45745.375</v>
      </c>
      <c r="F187" s="12"/>
      <c r="G187" s="17">
        <f>IF(E187="","",IF(F187="",'Leia-me'!$C$10-E187,F187-E187))</f>
        <v>2.625</v>
      </c>
      <c r="H187" s="22" t="str">
        <f>IF(F187="",IF(G187&gt;'Leia-me'!$C$11,"Aberto vencido","Aberto no prazo"),IF(G187&gt;'Leia-me'!$C$11,"Fora do prazo","Dentro do prazo"))</f>
        <v>Aberto no prazo</v>
      </c>
      <c r="I187" s="11" t="s">
        <v>306</v>
      </c>
      <c r="J187" s="11" t="s">
        <v>56</v>
      </c>
      <c r="K187" s="18">
        <f>--(Q187="valid")</f>
        <v>1</v>
      </c>
      <c r="L187" s="18">
        <f>--AND(K187=1,F187&lt;&gt;"")</f>
        <v>0</v>
      </c>
      <c r="M187" s="18">
        <f>--AND(K187=1,L187=1,G187&gt;'Leia-me'!$C$11)</f>
        <v>0</v>
      </c>
      <c r="N187" s="18">
        <f>--AND(K187=1,F187="")</f>
        <v>1</v>
      </c>
      <c r="O187" s="18">
        <f>--AND(N187=1,G187&gt;'Leia-me'!$C$11)</f>
        <v>0</v>
      </c>
      <c r="P187" s="19">
        <f>IF(L187=1,G187,"")</f>
        <v/>
      </c>
      <c r="Q187" s="11" t="s">
        <v>435</v>
      </c>
      <c r="R187" s="11"/>
    </row>
    <row r="188" spans="1:18" ht="32" customHeight="1">
      <c r="A188" s="9" t="s">
        <v>617</v>
      </c>
      <c r="B188" s="9" t="s">
        <v>327</v>
      </c>
      <c r="C188" s="9" t="s">
        <v>70</v>
      </c>
      <c r="D188" s="9" t="s">
        <v>127</v>
      </c>
      <c r="E188" s="6">
        <v>45746.375</v>
      </c>
      <c r="F188" s="6"/>
      <c r="G188" s="14">
        <f>IF(E188="","",IF(F188="",'Leia-me'!$C$10-E188,F188-E188))</f>
        <v>1.625</v>
      </c>
      <c r="H188" s="22" t="str">
        <f>IF(F188="",IF(G188&gt;'Leia-me'!$C$11,"Aberto vencido","Aberto no prazo"),IF(G188&gt;'Leia-me'!$C$11,"Fora do prazo","Dentro do prazo"))</f>
        <v>Aberto no prazo</v>
      </c>
      <c r="I188" s="9" t="s">
        <v>328</v>
      </c>
      <c r="J188" s="9" t="s">
        <v>72</v>
      </c>
      <c r="K188" s="7">
        <f>--(Q188="valid")</f>
        <v>1</v>
      </c>
      <c r="L188" s="7">
        <f>--AND(K188=1,F188&lt;&gt;"")</f>
        <v>0</v>
      </c>
      <c r="M188" s="7">
        <f>--AND(K188=1,L188=1,G188&gt;'Leia-me'!$C$11)</f>
        <v>0</v>
      </c>
      <c r="N188" s="7">
        <f>--AND(K188=1,F188="")</f>
        <v>1</v>
      </c>
      <c r="O188" s="7">
        <f>--AND(N188=1,G188&gt;'Leia-me'!$C$11)</f>
        <v>0</v>
      </c>
      <c r="P188" s="16">
        <f>IF(L188=1,G188,"")</f>
        <v/>
      </c>
      <c r="Q188" s="9" t="s">
        <v>435</v>
      </c>
      <c r="R188" s="9"/>
    </row>
    <row r="189" spans="1:18" ht="32" customHeight="1">
      <c r="A189" s="11" t="s">
        <v>618</v>
      </c>
      <c r="B189" s="11" t="s">
        <v>349</v>
      </c>
      <c r="C189" s="11" t="s">
        <v>85</v>
      </c>
      <c r="D189" s="11" t="s">
        <v>84</v>
      </c>
      <c r="E189" s="12">
        <v>45747.375</v>
      </c>
      <c r="F189" s="12"/>
      <c r="G189" s="17">
        <f>IF(E189="","",IF(F189="",'Leia-me'!$C$10-E189,F189-E189))</f>
        <v>0.625</v>
      </c>
      <c r="H189" s="22" t="str">
        <f>IF(F189="",IF(G189&gt;'Leia-me'!$C$11,"Aberto vencido","Aberto no prazo"),IF(G189&gt;'Leia-me'!$C$11,"Fora do prazo","Dentro do prazo"))</f>
        <v>Aberto no prazo</v>
      </c>
      <c r="I189" s="11" t="s">
        <v>350</v>
      </c>
      <c r="J189" s="11" t="s">
        <v>87</v>
      </c>
      <c r="K189" s="18">
        <f>--(Q189="valid")</f>
        <v>1</v>
      </c>
      <c r="L189" s="18">
        <f>--AND(K189=1,F189&lt;&gt;"")</f>
        <v>0</v>
      </c>
      <c r="M189" s="18">
        <f>--AND(K189=1,L189=1,G189&gt;'Leia-me'!$C$11)</f>
        <v>0</v>
      </c>
      <c r="N189" s="18">
        <f>--AND(K189=1,F189="")</f>
        <v>1</v>
      </c>
      <c r="O189" s="18">
        <f>--AND(N189=1,G189&gt;'Leia-me'!$C$11)</f>
        <v>0</v>
      </c>
      <c r="P189" s="19">
        <f>IF(L189=1,G189,"")</f>
        <v/>
      </c>
      <c r="Q189" s="11" t="s">
        <v>435</v>
      </c>
      <c r="R189" s="11"/>
    </row>
  </sheetData>
  <autoFilter ref="A5:R189"/>
  <mergeCells count="2">
    <mergeCell ref="A1:R1"/>
    <mergeCell ref="A2:R2"/>
  </mergeCells>
  <printOptions horizontalCentered="1"/>
  <pageMargins left="0.3" right="0.3" top="0.45" bottom="0.55" header="0.3" footer="0.25"/>
  <pageSetup paperSize="9" fitToHeight="0" orientation="landscape"/>
  <headerFooter>
    <oddFooter>&amp;L&amp;A&amp;R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C7A91"/>
    <pageSetUpPr fitToPage="1"/>
  </sheetPr>
  <dimension ref="A1:F19"/>
  <sheetViews>
    <sheetView showGridLines="0" zoomScale="95" zoomScaleNormal="95" workbookViewId="0">
      <pane ySplit="5" topLeftCell="A6" activePane="bottomLeft" state="frozen"/>
      <selection pane="bottomLeft"/>
    </sheetView>
  </sheetViews>
  <sheetFormatPr defaultRowHeight="18" customHeight="1"/>
  <cols>
    <col min="1" max="1" width="38.7109375" customWidth="1"/>
    <col min="2" max="2" width="18.7109375" customWidth="1"/>
    <col min="3" max="6" width="17.7109375" customWidth="1"/>
  </cols>
  <sheetData>
    <row r="1" spans="1:6" ht="29" customHeight="1">
      <c r="A1" s="1" t="s">
        <v>619</v>
      </c>
      <c r="B1" s="1"/>
      <c r="C1" s="1"/>
      <c r="D1" s="1"/>
      <c r="E1" s="1"/>
      <c r="F1" s="1"/>
    </row>
    <row r="2" spans="1:6" ht="34" customHeight="1">
      <c r="A2" s="2" t="s">
        <v>620</v>
      </c>
      <c r="B2" s="2"/>
      <c r="C2" s="2"/>
      <c r="D2" s="2"/>
      <c r="E2" s="2"/>
      <c r="F2" s="2"/>
    </row>
    <row r="4" spans="1:6" ht="18" customHeight="1">
      <c r="A4" s="3" t="s">
        <v>621</v>
      </c>
      <c r="B4" s="3"/>
      <c r="C4" s="3"/>
      <c r="D4" s="3"/>
      <c r="E4" s="3"/>
      <c r="F4" s="3"/>
    </row>
    <row r="5" spans="1:6" ht="18" customHeight="1">
      <c r="A5" s="8" t="s">
        <v>622</v>
      </c>
      <c r="B5" s="8" t="s">
        <v>623</v>
      </c>
      <c r="C5" s="8" t="s">
        <v>624</v>
      </c>
      <c r="D5" s="8"/>
      <c r="E5" s="8"/>
      <c r="F5" s="8"/>
    </row>
    <row r="6" spans="1:6" ht="34" customHeight="1">
      <c r="A6" s="4" t="s">
        <v>625</v>
      </c>
      <c r="B6" s="23">
        <f>SUM('Recebimentos'!$K$6:$K$189)</f>
        <v>184</v>
      </c>
      <c r="C6" s="9" t="s">
        <v>626</v>
      </c>
      <c r="D6" s="9"/>
      <c r="E6" s="9"/>
      <c r="F6" s="9"/>
    </row>
    <row r="7" spans="1:6" ht="34" customHeight="1">
      <c r="A7" s="4" t="s">
        <v>621</v>
      </c>
      <c r="B7" s="23">
        <f>SUM('Recebimentos'!$L$6:$L$189)</f>
        <v>160</v>
      </c>
      <c r="C7" s="11" t="s">
        <v>627</v>
      </c>
      <c r="D7" s="11"/>
      <c r="E7" s="11"/>
      <c r="F7" s="11"/>
    </row>
    <row r="8" spans="1:6" ht="34" customHeight="1">
      <c r="A8" s="4" t="s">
        <v>628</v>
      </c>
      <c r="B8" s="23">
        <f>SUM('Recebimentos'!$M$6:$M$189)</f>
        <v>40</v>
      </c>
      <c r="C8" s="9" t="s">
        <v>629</v>
      </c>
      <c r="D8" s="9"/>
      <c r="E8" s="9"/>
      <c r="F8" s="9"/>
    </row>
    <row r="9" spans="1:6" ht="34" customHeight="1">
      <c r="A9" s="4" t="s">
        <v>630</v>
      </c>
      <c r="B9" s="24">
        <f>IF(B7=0,0,B8/B7)</f>
        <v>0.25</v>
      </c>
      <c r="C9" s="11" t="s">
        <v>631</v>
      </c>
      <c r="D9" s="11"/>
      <c r="E9" s="11"/>
      <c r="F9" s="11"/>
    </row>
    <row r="10" spans="1:6" ht="34" customHeight="1">
      <c r="A10" s="4" t="s">
        <v>632</v>
      </c>
      <c r="B10" s="25">
        <f>IFERROR(MEDIAN('Recebimentos'!$P$6:$P$189),"")</f>
        <v>2.5</v>
      </c>
      <c r="C10" s="9" t="s">
        <v>633</v>
      </c>
      <c r="D10" s="9"/>
      <c r="E10" s="9"/>
      <c r="F10" s="9"/>
    </row>
    <row r="12" spans="1:6" ht="18" customHeight="1">
      <c r="A12" s="3" t="s">
        <v>634</v>
      </c>
      <c r="B12" s="3"/>
      <c r="C12" s="3"/>
      <c r="D12" s="3"/>
      <c r="E12" s="3"/>
      <c r="F12" s="3"/>
    </row>
    <row r="13" spans="1:6" ht="18" customHeight="1">
      <c r="A13" s="8" t="s">
        <v>622</v>
      </c>
      <c r="B13" s="8" t="s">
        <v>623</v>
      </c>
      <c r="C13" s="8" t="s">
        <v>624</v>
      </c>
      <c r="D13" s="8"/>
      <c r="E13" s="8"/>
      <c r="F13" s="8"/>
    </row>
    <row r="14" spans="1:6" ht="34" customHeight="1">
      <c r="A14" s="4" t="s">
        <v>635</v>
      </c>
      <c r="B14" s="23">
        <f>SUM('Recebimentos'!$N$6:$N$189)</f>
        <v>24</v>
      </c>
      <c r="C14" s="9" t="s">
        <v>636</v>
      </c>
      <c r="D14" s="9"/>
      <c r="E14" s="9"/>
      <c r="F14" s="9"/>
    </row>
    <row r="15" spans="1:6" ht="34" customHeight="1">
      <c r="A15" s="4" t="s">
        <v>637</v>
      </c>
      <c r="B15" s="23">
        <f>SUM('Recebimentos'!$O$6:$O$189)</f>
        <v>12</v>
      </c>
      <c r="C15" s="11" t="s">
        <v>638</v>
      </c>
      <c r="D15" s="11"/>
      <c r="E15" s="11"/>
      <c r="F15" s="11"/>
    </row>
    <row r="17" spans="1:6" ht="18" customHeight="1">
      <c r="A17" s="3" t="s">
        <v>639</v>
      </c>
      <c r="B17" s="3"/>
      <c r="C17" s="3"/>
      <c r="D17" s="3"/>
      <c r="E17" s="3"/>
      <c r="F17" s="3"/>
    </row>
    <row r="18" spans="1:6" ht="34" customHeight="1">
      <c r="A18" s="26" t="s">
        <v>640</v>
      </c>
      <c r="B18" s="26"/>
      <c r="C18" s="26"/>
      <c r="D18" s="26"/>
      <c r="E18" s="26"/>
      <c r="F18" s="26"/>
    </row>
    <row r="19" spans="1:6" ht="34" customHeight="1">
      <c r="A19" s="26"/>
      <c r="B19" s="26"/>
      <c r="C19" s="26"/>
      <c r="D19" s="26"/>
      <c r="E19" s="26"/>
      <c r="F19" s="26"/>
    </row>
  </sheetData>
  <mergeCells count="15">
    <mergeCell ref="A1:F1"/>
    <mergeCell ref="A2:F2"/>
    <mergeCell ref="A4:F4"/>
    <mergeCell ref="C5:F5"/>
    <mergeCell ref="C6:F6"/>
    <mergeCell ref="C7:F7"/>
    <mergeCell ref="C8:F8"/>
    <mergeCell ref="C9:F9"/>
    <mergeCell ref="C10:F10"/>
    <mergeCell ref="A12:F12"/>
    <mergeCell ref="C13:F13"/>
    <mergeCell ref="C14:F14"/>
    <mergeCell ref="C15:F15"/>
    <mergeCell ref="A17:F17"/>
    <mergeCell ref="A18:F19"/>
  </mergeCells>
  <printOptions horizontalCentered="1"/>
  <pageMargins left="0.3" right="0.3" top="0.45" bottom="0.55" header="0.3" footer="0.25"/>
  <pageSetup paperSize="9" fitToHeight="0" orientation="portrait"/>
  <headerFooter>
    <oddFooter>&amp;L&amp;A&amp;R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B8190"/>
    <pageSetUpPr autoPageBreaks="0" fitToPage="1"/>
  </sheetPr>
  <dimension ref="A1:F37"/>
  <sheetViews>
    <sheetView showGridLines="0" zoomScale="95" zoomScaleNormal="95" workbookViewId="0"/>
  </sheetViews>
  <sheetFormatPr defaultRowHeight="18" customHeight="1"/>
  <cols>
    <col min="1" max="1" width="18.7109375" customWidth="1"/>
    <col min="2" max="2" width="31.7109375" customWidth="1"/>
    <col min="3" max="3" width="15.7109375" customWidth="1"/>
    <col min="4" max="6" width="17.7109375" customWidth="1"/>
  </cols>
  <sheetData>
    <row r="1" spans="1:6" ht="29" customHeight="1">
      <c r="A1" s="1" t="s">
        <v>641</v>
      </c>
      <c r="B1" s="1"/>
      <c r="C1" s="1"/>
      <c r="D1" s="1"/>
      <c r="E1" s="1"/>
      <c r="F1" s="1"/>
    </row>
    <row r="2" spans="1:6" ht="34" customHeight="1">
      <c r="A2" s="2" t="s">
        <v>642</v>
      </c>
      <c r="B2" s="2"/>
      <c r="C2" s="2"/>
      <c r="D2" s="2"/>
      <c r="E2" s="2"/>
      <c r="F2" s="2"/>
    </row>
    <row r="4" spans="1:6" ht="35" customHeight="1">
      <c r="A4" s="8" t="s">
        <v>45</v>
      </c>
      <c r="B4" s="8" t="s">
        <v>36</v>
      </c>
      <c r="C4" s="8" t="s">
        <v>643</v>
      </c>
      <c r="D4" s="8" t="s">
        <v>644</v>
      </c>
      <c r="E4" s="8" t="s">
        <v>645</v>
      </c>
      <c r="F4" s="8" t="s">
        <v>646</v>
      </c>
    </row>
    <row r="5" spans="1:6" ht="28" customHeight="1">
      <c r="A5" s="9" t="s">
        <v>87</v>
      </c>
      <c r="B5" s="9" t="s">
        <v>85</v>
      </c>
      <c r="C5" s="7">
        <f>SUMIF('Recebimentos'!$J$6:$J$189,A5,'Recebimentos'!$M$6:$M$189)</f>
        <v>6</v>
      </c>
      <c r="D5" s="27">
        <f>IFERROR(C5/SUM($C$5:$C$12),0)</f>
        <v>0.15</v>
      </c>
      <c r="E5" s="27">
        <f>SUM($D$5:D5)</f>
        <v>0.15</v>
      </c>
      <c r="F5" s="27">
        <f>80%</f>
        <v>0.8</v>
      </c>
    </row>
    <row r="6" spans="1:6" ht="28" customHeight="1">
      <c r="A6" s="11" t="s">
        <v>56</v>
      </c>
      <c r="B6" s="11" t="s">
        <v>50</v>
      </c>
      <c r="C6" s="18">
        <f>SUMIF('Recebimentos'!$J$6:$J$189,A6,'Recebimentos'!$M$6:$M$189)</f>
        <v>5</v>
      </c>
      <c r="D6" s="28">
        <f>IFERROR(C6/SUM($C$5:$C$12),0)</f>
        <v>0.125</v>
      </c>
      <c r="E6" s="28">
        <f>SUM($D$5:D6)</f>
        <v>0.275</v>
      </c>
      <c r="F6" s="28">
        <f>80%</f>
        <v>0.8</v>
      </c>
    </row>
    <row r="7" spans="1:6" ht="28" customHeight="1">
      <c r="A7" s="9" t="s">
        <v>62</v>
      </c>
      <c r="B7" s="9" t="s">
        <v>60</v>
      </c>
      <c r="C7" s="7">
        <f>SUMIF('Recebimentos'!$J$6:$J$189,A7,'Recebimentos'!$M$6:$M$189)</f>
        <v>5</v>
      </c>
      <c r="D7" s="27">
        <f>IFERROR(C7/SUM($C$5:$C$12),0)</f>
        <v>0.125</v>
      </c>
      <c r="E7" s="27">
        <f>SUM($D$5:D7)</f>
        <v>0.4</v>
      </c>
      <c r="F7" s="27">
        <f>80%</f>
        <v>0.8</v>
      </c>
    </row>
    <row r="8" spans="1:6" ht="28" customHeight="1">
      <c r="A8" s="11" t="s">
        <v>67</v>
      </c>
      <c r="B8" s="11" t="s">
        <v>65</v>
      </c>
      <c r="C8" s="18">
        <f>SUMIF('Recebimentos'!$J$6:$J$189,A8,'Recebimentos'!$M$6:$M$189)</f>
        <v>5</v>
      </c>
      <c r="D8" s="28">
        <f>IFERROR(C8/SUM($C$5:$C$12),0)</f>
        <v>0.125</v>
      </c>
      <c r="E8" s="28">
        <f>SUM($D$5:D8)</f>
        <v>0.525</v>
      </c>
      <c r="F8" s="28">
        <f>80%</f>
        <v>0.8</v>
      </c>
    </row>
    <row r="9" spans="1:6" ht="28" customHeight="1">
      <c r="A9" s="9" t="s">
        <v>72</v>
      </c>
      <c r="B9" s="9" t="s">
        <v>70</v>
      </c>
      <c r="C9" s="7">
        <f>SUMIF('Recebimentos'!$J$6:$J$189,A9,'Recebimentos'!$M$6:$M$189)</f>
        <v>5</v>
      </c>
      <c r="D9" s="27">
        <f>IFERROR(C9/SUM($C$5:$C$12),0)</f>
        <v>0.125</v>
      </c>
      <c r="E9" s="27">
        <f>SUM($D$5:D9)</f>
        <v>0.65</v>
      </c>
      <c r="F9" s="27">
        <f>80%</f>
        <v>0.8</v>
      </c>
    </row>
    <row r="10" spans="1:6" ht="28" customHeight="1">
      <c r="A10" s="11" t="s">
        <v>82</v>
      </c>
      <c r="B10" s="11" t="s">
        <v>80</v>
      </c>
      <c r="C10" s="18">
        <f>SUMIF('Recebimentos'!$J$6:$J$189,A10,'Recebimentos'!$M$6:$M$189)</f>
        <v>5</v>
      </c>
      <c r="D10" s="28">
        <f>IFERROR(C10/SUM($C$5:$C$12),0)</f>
        <v>0.125</v>
      </c>
      <c r="E10" s="28">
        <f>SUM($D$5:D10)</f>
        <v>0.775</v>
      </c>
      <c r="F10" s="28">
        <f>80%</f>
        <v>0.8</v>
      </c>
    </row>
    <row r="11" spans="1:6" ht="28" customHeight="1">
      <c r="A11" s="9" t="s">
        <v>92</v>
      </c>
      <c r="B11" s="9" t="s">
        <v>90</v>
      </c>
      <c r="C11" s="7">
        <f>SUMIF('Recebimentos'!$J$6:$J$189,A11,'Recebimentos'!$M$6:$M$189)</f>
        <v>5</v>
      </c>
      <c r="D11" s="27">
        <f>IFERROR(C11/SUM($C$5:$C$12),0)</f>
        <v>0.125</v>
      </c>
      <c r="E11" s="27">
        <f>SUM($D$5:D11)</f>
        <v>0.9</v>
      </c>
      <c r="F11" s="27">
        <f>80%</f>
        <v>0.8</v>
      </c>
    </row>
    <row r="12" spans="1:6" ht="28" customHeight="1">
      <c r="A12" s="11" t="s">
        <v>77</v>
      </c>
      <c r="B12" s="11" t="s">
        <v>75</v>
      </c>
      <c r="C12" s="18">
        <f>SUMIF('Recebimentos'!$J$6:$J$189,A12,'Recebimentos'!$M$6:$M$189)</f>
        <v>4</v>
      </c>
      <c r="D12" s="28">
        <f>IFERROR(C12/SUM($C$5:$C$12),0)</f>
        <v>0.1</v>
      </c>
      <c r="E12" s="28">
        <f>SUM($D$5:D12)</f>
        <v>1.0</v>
      </c>
      <c r="F12" s="28">
        <f>80%</f>
        <v>0.8</v>
      </c>
    </row>
    <row r="31" spans="1:6" ht="23" customHeight="1">
      <c r="A31" s="3" t="s">
        <v>647</v>
      </c>
      <c r="B31" s="3"/>
      <c r="C31" s="3"/>
      <c r="D31" s="3"/>
      <c r="E31" s="3"/>
      <c r="F31" s="3"/>
    </row>
    <row r="32" spans="1:6" ht="29" customHeight="1">
      <c r="A32" s="5" t="s">
        <v>648</v>
      </c>
      <c r="B32" s="5"/>
      <c r="C32" s="5"/>
      <c r="D32" s="5"/>
      <c r="E32" s="5"/>
      <c r="F32" s="5"/>
    </row>
    <row r="33" spans="1:6" ht="29" customHeight="1">
      <c r="A33" s="5"/>
      <c r="B33" s="5"/>
      <c r="C33" s="5"/>
      <c r="D33" s="5"/>
      <c r="E33" s="5"/>
      <c r="F33" s="5"/>
    </row>
    <row r="35" spans="1:6" ht="23" customHeight="1">
      <c r="A35" s="3" t="s">
        <v>649</v>
      </c>
      <c r="B35" s="3"/>
      <c r="C35" s="3"/>
      <c r="D35" s="3"/>
      <c r="E35" s="3"/>
      <c r="F35" s="3"/>
    </row>
    <row r="36" spans="1:6" ht="29" customHeight="1">
      <c r="A36" s="26" t="s">
        <v>650</v>
      </c>
      <c r="B36" s="26"/>
      <c r="C36" s="26"/>
      <c r="D36" s="26"/>
      <c r="E36" s="26"/>
      <c r="F36" s="26"/>
    </row>
    <row r="37" spans="1:6" ht="29" customHeight="1">
      <c r="A37" s="26"/>
      <c r="B37" s="26"/>
      <c r="C37" s="26"/>
      <c r="D37" s="26"/>
      <c r="E37" s="26"/>
      <c r="F37" s="26"/>
    </row>
  </sheetData>
  <autoFilter ref="A4:F12"/>
  <mergeCells count="6">
    <mergeCell ref="A1:F1"/>
    <mergeCell ref="A2:F2"/>
    <mergeCell ref="A31:F31"/>
    <mergeCell ref="A32:F33"/>
    <mergeCell ref="A35:F35"/>
    <mergeCell ref="A36:F37"/>
  </mergeCells>
  <printOptions horizontalCentered="1"/>
  <pageMargins left="0.3" right="0.3" top="0.45" bottom="0.55" header="0.3" footer="0.25"/>
  <pageSetup paperSize="9" orientation="landscape"/>
  <headerFooter>
    <oddFooter>&amp;L&amp;A&amp;R 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B8790"/>
    <pageSetUpPr autoPageBreaks="0" fitToPage="1"/>
  </sheetPr>
  <dimension ref="A1:I42"/>
  <sheetViews>
    <sheetView showGridLines="0" zoomScale="90" zoomScaleNormal="90" workbookViewId="0"/>
  </sheetViews>
  <sheetFormatPr defaultRowHeight="18" customHeight="1" outlineLevelCol="1"/>
  <cols>
    <col min="1" max="1" width="36.7109375" customWidth="1"/>
    <col min="2" max="2" width="18.7109375" customWidth="1"/>
    <col min="3" max="3" width="12.7109375" customWidth="1"/>
    <col min="4" max="5" width="19.7109375" customWidth="1"/>
    <col min="6" max="6" width="26.7109375" customWidth="1"/>
    <col min="7" max="7" width="44.7109375" customWidth="1"/>
    <col min="8" max="9" width="22.7109375" hidden="1" customWidth="1" outlineLevel="1"/>
    <col min="10" max="10" width="2.7109375" customWidth="1" collapsed="1"/>
  </cols>
  <sheetData>
    <row r="1" spans="1:9" ht="29" customHeight="1">
      <c r="A1" s="1" t="s">
        <v>651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652</v>
      </c>
      <c r="B2" s="2"/>
      <c r="C2" s="2"/>
      <c r="D2" s="2"/>
      <c r="E2" s="2"/>
      <c r="F2" s="2"/>
      <c r="G2" s="2"/>
      <c r="H2" s="2"/>
      <c r="I2" s="2"/>
    </row>
    <row r="4" spans="1:9" ht="40" customHeight="1">
      <c r="A4" s="8" t="s">
        <v>653</v>
      </c>
      <c r="B4" s="8" t="s">
        <v>421</v>
      </c>
      <c r="C4" s="8" t="s">
        <v>654</v>
      </c>
      <c r="D4" s="8" t="s">
        <v>655</v>
      </c>
      <c r="E4" s="8" t="s">
        <v>656</v>
      </c>
      <c r="F4" s="8" t="s">
        <v>657</v>
      </c>
      <c r="G4" s="8" t="s">
        <v>658</v>
      </c>
      <c r="H4" s="8" t="s">
        <v>659</v>
      </c>
      <c r="I4" s="8" t="s">
        <v>660</v>
      </c>
    </row>
    <row r="5" spans="1:9" ht="44" customHeight="1">
      <c r="A5" s="9" t="s">
        <v>661</v>
      </c>
      <c r="B5" s="9" t="s">
        <v>436</v>
      </c>
      <c r="C5" s="7">
        <v>15</v>
      </c>
      <c r="D5" s="10">
        <v>65</v>
      </c>
      <c r="E5" s="10">
        <f>ROUND(C5/60*D5,2)</f>
        <v>16.25</v>
      </c>
      <c r="F5" s="9" t="s">
        <v>662</v>
      </c>
      <c r="G5" s="9" t="s">
        <v>663</v>
      </c>
      <c r="H5" s="9" t="s">
        <v>664</v>
      </c>
      <c r="I5" s="9" t="s">
        <v>665</v>
      </c>
    </row>
    <row r="6" spans="1:9" ht="44" customHeight="1">
      <c r="A6" s="11" t="s">
        <v>666</v>
      </c>
      <c r="B6" s="11" t="s">
        <v>443</v>
      </c>
      <c r="C6" s="18">
        <v>30</v>
      </c>
      <c r="D6" s="13">
        <v>80</v>
      </c>
      <c r="E6" s="13">
        <f>ROUND(C6/60*D6,2)</f>
        <v>40.0</v>
      </c>
      <c r="F6" s="11" t="s">
        <v>667</v>
      </c>
      <c r="G6" s="11" t="s">
        <v>668</v>
      </c>
      <c r="H6" s="11" t="s">
        <v>669</v>
      </c>
      <c r="I6" s="11" t="s">
        <v>670</v>
      </c>
    </row>
    <row r="7" spans="1:9" ht="44" customHeight="1">
      <c r="A7" s="9" t="s">
        <v>671</v>
      </c>
      <c r="B7" s="9" t="s">
        <v>450</v>
      </c>
      <c r="C7" s="7">
        <v>45</v>
      </c>
      <c r="D7" s="10">
        <v>95</v>
      </c>
      <c r="E7" s="10">
        <f>ROUND(C7/60*D7,2)</f>
        <v>71.25</v>
      </c>
      <c r="F7" s="9" t="s">
        <v>667</v>
      </c>
      <c r="G7" s="9" t="s">
        <v>672</v>
      </c>
      <c r="H7" s="9" t="s">
        <v>673</v>
      </c>
      <c r="I7" s="9" t="s">
        <v>670</v>
      </c>
    </row>
    <row r="8" spans="1:9" ht="44" customHeight="1">
      <c r="A8" s="11" t="s">
        <v>661</v>
      </c>
      <c r="B8" s="11" t="s">
        <v>457</v>
      </c>
      <c r="C8" s="18">
        <v>60</v>
      </c>
      <c r="D8" s="13">
        <v>110</v>
      </c>
      <c r="E8" s="13">
        <f>ROUND(C8/60*D8,2)</f>
        <v>110.0</v>
      </c>
      <c r="F8" s="11" t="s">
        <v>662</v>
      </c>
      <c r="G8" s="11" t="s">
        <v>674</v>
      </c>
      <c r="H8" s="11" t="s">
        <v>675</v>
      </c>
      <c r="I8" s="11" t="s">
        <v>665</v>
      </c>
    </row>
    <row r="9" spans="1:9" ht="44" customHeight="1">
      <c r="A9" s="9" t="s">
        <v>666</v>
      </c>
      <c r="B9" s="9" t="s">
        <v>464</v>
      </c>
      <c r="C9" s="7">
        <v>75</v>
      </c>
      <c r="D9" s="10">
        <v>65</v>
      </c>
      <c r="E9" s="10">
        <f>ROUND(C9/60*D9,2)</f>
        <v>81.25</v>
      </c>
      <c r="F9" s="9" t="s">
        <v>667</v>
      </c>
      <c r="G9" s="9" t="s">
        <v>674</v>
      </c>
      <c r="H9" s="9" t="s">
        <v>676</v>
      </c>
      <c r="I9" s="9" t="s">
        <v>670</v>
      </c>
    </row>
    <row r="10" spans="1:9" ht="44" customHeight="1">
      <c r="A10" s="11" t="s">
        <v>671</v>
      </c>
      <c r="B10" s="11" t="s">
        <v>471</v>
      </c>
      <c r="C10" s="18">
        <v>15</v>
      </c>
      <c r="D10" s="13">
        <v>80</v>
      </c>
      <c r="E10" s="13">
        <f>ROUND(C10/60*D10,2)</f>
        <v>20.0</v>
      </c>
      <c r="F10" s="11" t="s">
        <v>677</v>
      </c>
      <c r="G10" s="11" t="s">
        <v>674</v>
      </c>
      <c r="H10" s="11" t="s">
        <v>678</v>
      </c>
      <c r="I10" s="11" t="s">
        <v>679</v>
      </c>
    </row>
    <row r="11" spans="1:9" ht="44" customHeight="1">
      <c r="A11" s="9" t="s">
        <v>661</v>
      </c>
      <c r="B11" s="9" t="s">
        <v>478</v>
      </c>
      <c r="C11" s="7">
        <v>30</v>
      </c>
      <c r="D11" s="10">
        <v>95</v>
      </c>
      <c r="E11" s="10">
        <f>ROUND(C11/60*D11,2)</f>
        <v>47.5</v>
      </c>
      <c r="F11" s="9" t="s">
        <v>662</v>
      </c>
      <c r="G11" s="9" t="s">
        <v>674</v>
      </c>
      <c r="H11" s="9" t="s">
        <v>680</v>
      </c>
      <c r="I11" s="9" t="s">
        <v>665</v>
      </c>
    </row>
    <row r="12" spans="1:9" ht="44" customHeight="1">
      <c r="A12" s="11" t="s">
        <v>666</v>
      </c>
      <c r="B12" s="11" t="s">
        <v>485</v>
      </c>
      <c r="C12" s="18">
        <v>45</v>
      </c>
      <c r="D12" s="13">
        <v>110</v>
      </c>
      <c r="E12" s="13">
        <f>ROUND(C12/60*D12,2)</f>
        <v>82.5</v>
      </c>
      <c r="F12" s="11" t="s">
        <v>667</v>
      </c>
      <c r="G12" s="11" t="s">
        <v>674</v>
      </c>
      <c r="H12" s="11" t="s">
        <v>681</v>
      </c>
      <c r="I12" s="11" t="s">
        <v>670</v>
      </c>
    </row>
    <row r="13" spans="1:9" ht="44" customHeight="1">
      <c r="A13" s="9" t="s">
        <v>671</v>
      </c>
      <c r="B13" s="9" t="s">
        <v>492</v>
      </c>
      <c r="C13" s="7">
        <v>60</v>
      </c>
      <c r="D13" s="10">
        <v>65</v>
      </c>
      <c r="E13" s="10">
        <f>ROUND(C13/60*D13,2)</f>
        <v>65.0</v>
      </c>
      <c r="F13" s="9" t="s">
        <v>667</v>
      </c>
      <c r="G13" s="9" t="s">
        <v>674</v>
      </c>
      <c r="H13" s="9" t="s">
        <v>682</v>
      </c>
      <c r="I13" s="9" t="s">
        <v>670</v>
      </c>
    </row>
    <row r="14" spans="1:9" ht="44" customHeight="1">
      <c r="A14" s="11" t="s">
        <v>661</v>
      </c>
      <c r="B14" s="11" t="s">
        <v>499</v>
      </c>
      <c r="C14" s="18">
        <v>75</v>
      </c>
      <c r="D14" s="13">
        <v>80</v>
      </c>
      <c r="E14" s="13">
        <f>ROUND(C14/60*D14,2)</f>
        <v>100.0</v>
      </c>
      <c r="F14" s="11" t="s">
        <v>662</v>
      </c>
      <c r="G14" s="11" t="s">
        <v>674</v>
      </c>
      <c r="H14" s="11" t="s">
        <v>683</v>
      </c>
      <c r="I14" s="11" t="s">
        <v>665</v>
      </c>
    </row>
    <row r="15" spans="1:9" ht="44" customHeight="1">
      <c r="A15" s="9" t="s">
        <v>666</v>
      </c>
      <c r="B15" s="9" t="s">
        <v>506</v>
      </c>
      <c r="C15" s="7">
        <v>15</v>
      </c>
      <c r="D15" s="10">
        <v>95</v>
      </c>
      <c r="E15" s="10">
        <f>ROUND(C15/60*D15,2)</f>
        <v>23.75</v>
      </c>
      <c r="F15" s="9" t="s">
        <v>677</v>
      </c>
      <c r="G15" s="9" t="s">
        <v>674</v>
      </c>
      <c r="H15" s="9" t="s">
        <v>684</v>
      </c>
      <c r="I15" s="9" t="s">
        <v>679</v>
      </c>
    </row>
    <row r="16" spans="1:9" ht="44" customHeight="1">
      <c r="A16" s="11" t="s">
        <v>671</v>
      </c>
      <c r="B16" s="11" t="s">
        <v>513</v>
      </c>
      <c r="C16" s="18">
        <v>30</v>
      </c>
      <c r="D16" s="13">
        <v>110</v>
      </c>
      <c r="E16" s="13">
        <f>ROUND(C16/60*D16,2)</f>
        <v>55.0</v>
      </c>
      <c r="F16" s="11" t="s">
        <v>667</v>
      </c>
      <c r="G16" s="11" t="s">
        <v>674</v>
      </c>
      <c r="H16" s="11" t="s">
        <v>685</v>
      </c>
      <c r="I16" s="11" t="s">
        <v>670</v>
      </c>
    </row>
    <row r="17" spans="1:9" ht="44" customHeight="1">
      <c r="A17" s="9" t="s">
        <v>661</v>
      </c>
      <c r="B17" s="9" t="s">
        <v>520</v>
      </c>
      <c r="C17" s="7">
        <v>45</v>
      </c>
      <c r="D17" s="10">
        <v>65</v>
      </c>
      <c r="E17" s="10">
        <f>ROUND(C17/60*D17,2)</f>
        <v>48.75</v>
      </c>
      <c r="F17" s="9" t="s">
        <v>662</v>
      </c>
      <c r="G17" s="9" t="s">
        <v>674</v>
      </c>
      <c r="H17" s="9" t="s">
        <v>686</v>
      </c>
      <c r="I17" s="9" t="s">
        <v>665</v>
      </c>
    </row>
    <row r="18" spans="1:9" ht="44" customHeight="1">
      <c r="A18" s="11" t="s">
        <v>666</v>
      </c>
      <c r="B18" s="11" t="s">
        <v>527</v>
      </c>
      <c r="C18" s="18">
        <v>60</v>
      </c>
      <c r="D18" s="13">
        <v>80</v>
      </c>
      <c r="E18" s="13">
        <f>ROUND(C18/60*D18,2)</f>
        <v>80.0</v>
      </c>
      <c r="F18" s="11" t="s">
        <v>667</v>
      </c>
      <c r="G18" s="11" t="s">
        <v>674</v>
      </c>
      <c r="H18" s="11" t="s">
        <v>687</v>
      </c>
      <c r="I18" s="11" t="s">
        <v>670</v>
      </c>
    </row>
    <row r="19" spans="1:9" ht="44" customHeight="1">
      <c r="A19" s="9" t="s">
        <v>671</v>
      </c>
      <c r="B19" s="9" t="s">
        <v>534</v>
      </c>
      <c r="C19" s="7">
        <v>75</v>
      </c>
      <c r="D19" s="10">
        <v>95</v>
      </c>
      <c r="E19" s="10">
        <f>ROUND(C19/60*D19,2)</f>
        <v>118.75</v>
      </c>
      <c r="F19" s="9" t="s">
        <v>667</v>
      </c>
      <c r="G19" s="9" t="s">
        <v>674</v>
      </c>
      <c r="H19" s="9" t="s">
        <v>688</v>
      </c>
      <c r="I19" s="9" t="s">
        <v>670</v>
      </c>
    </row>
    <row r="20" spans="1:9" ht="44" customHeight="1">
      <c r="A20" s="11" t="s">
        <v>661</v>
      </c>
      <c r="B20" s="11" t="s">
        <v>541</v>
      </c>
      <c r="C20" s="18">
        <v>15</v>
      </c>
      <c r="D20" s="13">
        <v>110</v>
      </c>
      <c r="E20" s="13">
        <f>ROUND(C20/60*D20,2)</f>
        <v>27.5</v>
      </c>
      <c r="F20" s="11" t="s">
        <v>662</v>
      </c>
      <c r="G20" s="11" t="s">
        <v>674</v>
      </c>
      <c r="H20" s="11" t="s">
        <v>689</v>
      </c>
      <c r="I20" s="11" t="s">
        <v>665</v>
      </c>
    </row>
    <row r="21" spans="1:9" ht="44" customHeight="1">
      <c r="A21" s="9" t="s">
        <v>666</v>
      </c>
      <c r="B21" s="9" t="s">
        <v>548</v>
      </c>
      <c r="C21" s="7">
        <v>30</v>
      </c>
      <c r="D21" s="10">
        <v>65</v>
      </c>
      <c r="E21" s="10">
        <f>ROUND(C21/60*D21,2)</f>
        <v>32.5</v>
      </c>
      <c r="F21" s="9" t="s">
        <v>667</v>
      </c>
      <c r="G21" s="9" t="s">
        <v>674</v>
      </c>
      <c r="H21" s="9" t="s">
        <v>690</v>
      </c>
      <c r="I21" s="9" t="s">
        <v>670</v>
      </c>
    </row>
    <row r="22" spans="1:9" ht="44" customHeight="1">
      <c r="A22" s="11" t="s">
        <v>671</v>
      </c>
      <c r="B22" s="11" t="s">
        <v>555</v>
      </c>
      <c r="C22" s="18">
        <v>45</v>
      </c>
      <c r="D22" s="13">
        <v>80</v>
      </c>
      <c r="E22" s="13">
        <f>ROUND(C22/60*D22,2)</f>
        <v>60.0</v>
      </c>
      <c r="F22" s="11" t="s">
        <v>667</v>
      </c>
      <c r="G22" s="11" t="s">
        <v>674</v>
      </c>
      <c r="H22" s="11" t="s">
        <v>691</v>
      </c>
      <c r="I22" s="11" t="s">
        <v>670</v>
      </c>
    </row>
    <row r="23" spans="1:9" ht="44" customHeight="1">
      <c r="A23" s="9" t="s">
        <v>661</v>
      </c>
      <c r="B23" s="9" t="s">
        <v>562</v>
      </c>
      <c r="C23" s="7">
        <v>60</v>
      </c>
      <c r="D23" s="10">
        <v>95</v>
      </c>
      <c r="E23" s="10">
        <f>ROUND(C23/60*D23,2)</f>
        <v>95.0</v>
      </c>
      <c r="F23" s="9" t="s">
        <v>662</v>
      </c>
      <c r="G23" s="9" t="s">
        <v>674</v>
      </c>
      <c r="H23" s="9" t="s">
        <v>692</v>
      </c>
      <c r="I23" s="9" t="s">
        <v>665</v>
      </c>
    </row>
    <row r="24" spans="1:9" ht="44" customHeight="1">
      <c r="A24" s="11" t="s">
        <v>666</v>
      </c>
      <c r="B24" s="11" t="s">
        <v>569</v>
      </c>
      <c r="C24" s="18">
        <v>75</v>
      </c>
      <c r="D24" s="13">
        <v>110</v>
      </c>
      <c r="E24" s="13">
        <f>ROUND(C24/60*D24,2)</f>
        <v>137.5</v>
      </c>
      <c r="F24" s="11" t="s">
        <v>667</v>
      </c>
      <c r="G24" s="11" t="s">
        <v>674</v>
      </c>
      <c r="H24" s="11" t="s">
        <v>693</v>
      </c>
      <c r="I24" s="11" t="s">
        <v>670</v>
      </c>
    </row>
    <row r="25" spans="1:9" ht="44" customHeight="1">
      <c r="A25" s="9" t="s">
        <v>671</v>
      </c>
      <c r="B25" s="9" t="s">
        <v>576</v>
      </c>
      <c r="C25" s="7">
        <v>15</v>
      </c>
      <c r="D25" s="10">
        <v>65</v>
      </c>
      <c r="E25" s="10">
        <f>ROUND(C25/60*D25,2)</f>
        <v>16.25</v>
      </c>
      <c r="F25" s="9" t="s">
        <v>677</v>
      </c>
      <c r="G25" s="9" t="s">
        <v>674</v>
      </c>
      <c r="H25" s="9" t="s">
        <v>694</v>
      </c>
      <c r="I25" s="9" t="s">
        <v>679</v>
      </c>
    </row>
    <row r="26" spans="1:9" ht="44" customHeight="1">
      <c r="A26" s="11" t="s">
        <v>661</v>
      </c>
      <c r="B26" s="11" t="s">
        <v>583</v>
      </c>
      <c r="C26" s="18">
        <v>30</v>
      </c>
      <c r="D26" s="13">
        <v>80</v>
      </c>
      <c r="E26" s="13">
        <f>ROUND(C26/60*D26,2)</f>
        <v>40.0</v>
      </c>
      <c r="F26" s="11" t="s">
        <v>662</v>
      </c>
      <c r="G26" s="11" t="s">
        <v>674</v>
      </c>
      <c r="H26" s="11" t="s">
        <v>695</v>
      </c>
      <c r="I26" s="11" t="s">
        <v>665</v>
      </c>
    </row>
    <row r="27" spans="1:9" ht="44" customHeight="1">
      <c r="A27" s="9" t="s">
        <v>666</v>
      </c>
      <c r="B27" s="9" t="s">
        <v>590</v>
      </c>
      <c r="C27" s="7">
        <v>45</v>
      </c>
      <c r="D27" s="10">
        <v>95</v>
      </c>
      <c r="E27" s="10">
        <f>ROUND(C27/60*D27,2)</f>
        <v>71.25</v>
      </c>
      <c r="F27" s="9" t="s">
        <v>667</v>
      </c>
      <c r="G27" s="9" t="s">
        <v>674</v>
      </c>
      <c r="H27" s="9" t="s">
        <v>696</v>
      </c>
      <c r="I27" s="9" t="s">
        <v>670</v>
      </c>
    </row>
    <row r="28" spans="1:9" ht="44" customHeight="1">
      <c r="A28" s="11" t="s">
        <v>671</v>
      </c>
      <c r="B28" s="11" t="s">
        <v>597</v>
      </c>
      <c r="C28" s="18">
        <v>60</v>
      </c>
      <c r="D28" s="13">
        <v>110</v>
      </c>
      <c r="E28" s="13">
        <f>ROUND(C28/60*D28,2)</f>
        <v>110.0</v>
      </c>
      <c r="F28" s="11" t="s">
        <v>667</v>
      </c>
      <c r="G28" s="11" t="s">
        <v>674</v>
      </c>
      <c r="H28" s="11" t="s">
        <v>697</v>
      </c>
      <c r="I28" s="11" t="s">
        <v>670</v>
      </c>
    </row>
    <row r="30" spans="1:9" ht="18" customHeight="1">
      <c r="A30" s="3" t="s">
        <v>698</v>
      </c>
      <c r="B30" s="3"/>
      <c r="C30" s="3"/>
      <c r="D30" s="3"/>
      <c r="E30" s="3"/>
      <c r="F30" s="3"/>
      <c r="G30" s="3"/>
    </row>
    <row r="31" spans="1:9" ht="27" customHeight="1">
      <c r="A31" s="4" t="s">
        <v>699</v>
      </c>
      <c r="B31" s="4"/>
      <c r="C31" s="4"/>
      <c r="D31" s="4"/>
      <c r="E31" s="29">
        <f>ROUND(SUM(E5:E28),2)</f>
        <v>1550.0</v>
      </c>
    </row>
    <row r="32" spans="1:9" ht="27" customHeight="1">
      <c r="A32" s="4" t="s">
        <v>667</v>
      </c>
      <c r="B32" s="4"/>
      <c r="C32" s="4"/>
      <c r="D32" s="4"/>
      <c r="E32" s="29">
        <f>ROUND(SUMIF(I5:I28,"assumida_no_cenario",E5:E28),2)</f>
        <v>1005.0</v>
      </c>
    </row>
    <row r="33" spans="1:7" ht="27" customHeight="1">
      <c r="A33" s="4" t="s">
        <v>662</v>
      </c>
      <c r="B33" s="4"/>
      <c r="C33" s="4"/>
      <c r="D33" s="4"/>
      <c r="E33" s="29">
        <f>ROUND(SUMIF(I5:I28,"nao_atribuida",E5:E28),2)</f>
        <v>485.0</v>
      </c>
    </row>
    <row r="34" spans="1:7" ht="27" customHeight="1">
      <c r="A34" s="4" t="s">
        <v>677</v>
      </c>
      <c r="B34" s="4"/>
      <c r="C34" s="4"/>
      <c r="D34" s="4"/>
      <c r="E34" s="29">
        <f>ROUND(SUMIF(I5:I28,"indeterminada",E5:E28),2)</f>
        <v>60.0</v>
      </c>
    </row>
    <row r="36" spans="1:7" ht="18" customHeight="1">
      <c r="A36" s="3" t="s">
        <v>700</v>
      </c>
      <c r="B36" s="3"/>
      <c r="C36" s="3"/>
      <c r="D36" s="3"/>
      <c r="E36" s="3"/>
      <c r="F36" s="3"/>
      <c r="G36" s="3"/>
    </row>
    <row r="37" spans="1:7" ht="25" customHeight="1">
      <c r="A37" s="5" t="s">
        <v>701</v>
      </c>
      <c r="B37" s="5"/>
      <c r="C37" s="5"/>
      <c r="D37" s="5"/>
      <c r="E37" s="5"/>
      <c r="F37" s="5"/>
      <c r="G37" s="5"/>
    </row>
    <row r="38" spans="1:7" ht="25" customHeight="1">
      <c r="A38" s="5"/>
      <c r="B38" s="5"/>
      <c r="C38" s="5"/>
      <c r="D38" s="5"/>
      <c r="E38" s="5"/>
      <c r="F38" s="5"/>
      <c r="G38" s="5"/>
    </row>
    <row r="40" spans="1:7" ht="18" customHeight="1">
      <c r="A40" s="3" t="s">
        <v>702</v>
      </c>
      <c r="B40" s="3"/>
      <c r="C40" s="3"/>
      <c r="D40" s="3"/>
      <c r="E40" s="3"/>
      <c r="F40" s="3"/>
      <c r="G40" s="3"/>
    </row>
    <row r="41" spans="1:7" ht="25" customHeight="1">
      <c r="A41" s="26" t="s">
        <v>703</v>
      </c>
      <c r="B41" s="26"/>
      <c r="C41" s="26"/>
      <c r="D41" s="26"/>
      <c r="E41" s="26"/>
      <c r="F41" s="26"/>
      <c r="G41" s="26"/>
    </row>
    <row r="42" spans="1:7" ht="25" customHeight="1">
      <c r="A42" s="26"/>
      <c r="B42" s="26"/>
      <c r="C42" s="26"/>
      <c r="D42" s="26"/>
      <c r="E42" s="26"/>
      <c r="F42" s="26"/>
      <c r="G42" s="26"/>
    </row>
  </sheetData>
  <autoFilter ref="A4:I28"/>
  <mergeCells count="11">
    <mergeCell ref="A1:I1"/>
    <mergeCell ref="A2:I2"/>
    <mergeCell ref="A30:G30"/>
    <mergeCell ref="A31:D31"/>
    <mergeCell ref="A32:D32"/>
    <mergeCell ref="A33:D33"/>
    <mergeCell ref="A34:D34"/>
    <mergeCell ref="A36:G36"/>
    <mergeCell ref="A37:G38"/>
    <mergeCell ref="A40:G40"/>
    <mergeCell ref="A41:G42"/>
  </mergeCells>
  <printOptions horizontalCentered="1"/>
  <pageMargins left="0.3" right="0.3" top="0.45" bottom="0.55" header="0.3" footer="0.25"/>
  <pageSetup paperSize="9" fitToHeight="0" orientation="landscape"/>
  <headerFooter>
    <oddFooter>&amp;L&amp;A&amp;R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Leia-me</vt:lpstr>
      <vt:lpstr>Pedidos</vt:lpstr>
      <vt:lpstr>Recebimentos</vt:lpstr>
      <vt:lpstr>Indicadores</vt:lpstr>
      <vt:lpstr>Pareto</vt:lpstr>
      <vt:lpstr>Custos</vt:lpstr>
      <vt:lpstr>Custos!Print_Area</vt:lpstr>
      <vt:lpstr>Indicadores!Print_Area</vt:lpstr>
      <vt:lpstr>'Leia-me'!Print_Area</vt:lpstr>
      <vt:lpstr>Pareto!Print_Area</vt:lpstr>
      <vt:lpstr>Pedidos!Print_Area</vt:lpstr>
      <vt:lpstr>Recebimentos!Print_Area</vt:lpstr>
      <vt:lpstr>Custos!Print_Titles</vt:lpstr>
      <vt:lpstr>Indicadores!Print_Titles</vt:lpstr>
      <vt:lpstr>Pedidos!Print_Titles</vt:lpstr>
      <vt:lpstr>Recebimentos!Print_Titles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MASP - análise acadêmica com dados sintéticos</dc:title>
  <dc:subject>Indicadores de prazo, distribuição de ocorrências e estimativa de custos</dc:subject>
  <dc:creator/>
  <dc:description>Dados sintéticos utilizados exclusivamente para análise acadêmica.</dc:description>
  <cp:lastModifiedBy/>
  <dcterms:created xsi:type="dcterms:W3CDTF">2026-10-14T14:43:51Z</dcterms:created>
  <dcterms:modified xsi:type="dcterms:W3CDTF">2026-10-14T14:43:51Z</dcterms:modified>
</cp:coreProperties>
</file>